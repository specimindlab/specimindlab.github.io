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" sheetId="1" state="visible" r:id="rId3"/>
    <sheet name="Settings" sheetId="2" state="visible" r:id="rId4"/>
    <sheet name="Catalog" sheetId="3" state="visible" r:id="rId5"/>
    <sheet name="Series" sheetId="4" state="visible" r:id="rId6"/>
    <sheet name="Scorecard" sheetId="5" state="visible" r:id="rId7"/>
  </sheets>
  <definedNames>
    <definedName function="false" hidden="true" localSheetId="0" name="_xlnm._FilterDatabase" vbProcedure="false">Calendar!$A$1:$T$181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<sst xmlns="http://schemas.openxmlformats.org/spreadsheetml/2006/main" count="3572" uniqueCount="1135">
  <si>
    <t xml:space="preserve">Day</t>
  </si>
  <si>
    <t xml:space="preserve">Date</t>
  </si>
  <si>
    <t xml:space="preserve">Weekday</t>
  </si>
  <si>
    <t xml:space="preserve">Slot</t>
  </si>
  <si>
    <t xml:space="preserve">Post time (IST)</t>
  </si>
  <si>
    <t xml:space="preserve">Episode</t>
  </si>
  <si>
    <t xml:space="preserve">Phase</t>
  </si>
  <si>
    <t xml:space="preserve">Series</t>
  </si>
  <si>
    <t xml:space="preserve">Mode</t>
  </si>
  <si>
    <t xml:space="preserve">Code</t>
  </si>
  <si>
    <t xml:space="preserve">Tool(s)</t>
  </si>
  <si>
    <t xml:space="preserve">Pillar</t>
  </si>
  <si>
    <t xml:space="preserve">Draft hook (rewrite after test)</t>
  </si>
  <si>
    <t xml:space="preserve">The test</t>
  </si>
  <si>
    <t xml:space="preserve">Free path</t>
  </si>
  <si>
    <t xml:space="preserve">Affiliate status</t>
  </si>
  <si>
    <t xml:space="preserve">On-screen label</t>
  </si>
  <si>
    <t xml:space="preserve">YouTube title (draft)</t>
  </si>
  <si>
    <t xml:space="preserve">Hashtags</t>
  </si>
  <si>
    <t xml:space="preserve">Status</t>
  </si>
  <si>
    <t xml:space="preserve">A</t>
  </si>
  <si>
    <t xml:space="preserve">E001</t>
  </si>
  <si>
    <t xml:space="preserve">1 Collect</t>
  </si>
  <si>
    <t xml:space="preserve">Field Specimen</t>
  </si>
  <si>
    <t xml:space="preserve">Live specimen</t>
  </si>
  <si>
    <t xml:space="preserve">001</t>
  </si>
  <si>
    <t xml:space="preserve">Tripo</t>
  </si>
  <si>
    <t xml:space="preserve">3D</t>
  </si>
  <si>
    <t xml:space="preserve">This mug was a phone photo 40 seconds ago.</t>
  </si>
  <si>
    <t xml:space="preserve">One phone photo of a real mug to a textured 3D model, one try</t>
  </si>
  <si>
    <t xml:space="preserve">Free: 200 credits/mo, models public + non-commercial</t>
  </si>
  <si>
    <t xml:space="preserve">Confirmed program</t>
  </si>
  <si>
    <t xml:space="preserve">Affiliate</t>
  </si>
  <si>
    <t xml:space="preserve">Tripo: This mug was a phone photo 40 seconds ago | Specimen Nº001</t>
  </si>
  <si>
    <t xml:space="preserve">#3dmodeling #ai3d #3dprinting #specimindlab</t>
  </si>
  <si>
    <t xml:space="preserve">Planned</t>
  </si>
  <si>
    <t xml:space="preserve">B</t>
  </si>
  <si>
    <t xml:space="preserve">E002</t>
  </si>
  <si>
    <t xml:space="preserve">Free Range</t>
  </si>
  <si>
    <t xml:space="preserve">002</t>
  </si>
  <si>
    <t xml:space="preserve">Hunyuan3D</t>
  </si>
  <si>
    <t xml:space="preserve">Tencent's free 3D generator vs my desk lamp.</t>
  </si>
  <si>
    <t xml:space="preserve">Photo of a desk lamp to mesh; inspect the thin arm</t>
  </si>
  <si>
    <t xml:space="preserve">Free: ~20 generations/day, open weights</t>
  </si>
  <si>
    <t xml:space="preserve">No program known (Unpaid)</t>
  </si>
  <si>
    <t xml:space="preserve">Unpaid</t>
  </si>
  <si>
    <t xml:space="preserve">Hunyuan3D: Tencent's free 3D generator vs my desk lamp | Specimen Nº002</t>
  </si>
  <si>
    <t xml:space="preserve">E003</t>
  </si>
  <si>
    <t xml:space="preserve">Rare Sighting</t>
  </si>
  <si>
    <t xml:space="preserve">003</t>
  </si>
  <si>
    <t xml:space="preserve">TRELLIS 2</t>
  </si>
  <si>
    <t xml:space="preserve">Microsoft's open-source 3D model, free in a browser tab.</t>
  </si>
  <si>
    <t xml:space="preserve">Concept art of a creature to 3D via the free demo</t>
  </si>
  <si>
    <t xml:space="preserve">Open-source; free Hugging Face Space demo</t>
  </si>
  <si>
    <t xml:space="preserve">TRELLIS 2: Microsoft's open-source 3D model, free in a browser tab | Specimen Nº003</t>
  </si>
  <si>
    <t xml:space="preserve">E004</t>
  </si>
  <si>
    <t xml:space="preserve">004</t>
  </si>
  <si>
    <t xml:space="preserve">Kling 3.0</t>
  </si>
  <si>
    <t xml:space="preserve">Video</t>
  </si>
  <si>
    <t xml:space="preserve">Free AI video, refilled every day. Here's day one.</t>
  </si>
  <si>
    <t xml:space="preserve">Image-to-video of a still-life photo, 5 s, one try</t>
  </si>
  <si>
    <t xml:space="preserve">Free: 66 credits/day, 720p, 5 s</t>
  </si>
  <si>
    <t xml:space="preserve">Check for program</t>
  </si>
  <si>
    <t xml:space="preserve">Affiliate if approved, else Unpaid</t>
  </si>
  <si>
    <t xml:space="preserve">Kling 3.0: Free AI video, refilled every day. Here's day one | Specimen Nº004</t>
  </si>
  <si>
    <t xml:space="preserve">#aivideo #videogeneration #filmmaking #specimindlab</t>
  </si>
  <si>
    <t xml:space="preserve">E005</t>
  </si>
  <si>
    <t xml:space="preserve">Plate</t>
  </si>
  <si>
    <t xml:space="preserve">P01</t>
  </si>
  <si>
    <t xml:space="preserve">Tripo vs Meshy vs Hunyuan3D</t>
  </si>
  <si>
    <t xml:space="preserve">Same photo, three 3D specimens.</t>
  </si>
  <si>
    <t xml:space="preserve">One phone photo of a ceramic owl through all three free tiers</t>
  </si>
  <si>
    <t xml:space="preserve">All three on free tiers</t>
  </si>
  <si>
    <t xml:space="preserve">Check for program, Confirmed program, No program known (Unpaid)</t>
  </si>
  <si>
    <t xml:space="preserve">Affiliate on any approved specimen</t>
  </si>
  <si>
    <t xml:space="preserve">Tripo vs Meshy vs Hunyuan3D: same photo, three 3d specimens | Plate P01</t>
  </si>
  <si>
    <t xml:space="preserve">#3dmodeling #ai3d #3dprinting #aicomparison #specimindlab</t>
  </si>
  <si>
    <t xml:space="preserve">E006</t>
  </si>
  <si>
    <t xml:space="preserve">Field Sketch</t>
  </si>
  <si>
    <t xml:space="preserve">Field sketch</t>
  </si>
  <si>
    <t xml:space="preserve">006</t>
  </si>
  <si>
    <t xml:space="preserve">Midjourney</t>
  </si>
  <si>
    <t xml:space="preserve">Image</t>
  </si>
  <si>
    <t xml:space="preserve">Still the taste leader? A desk study.</t>
  </si>
  <si>
    <t xml:space="preserve">Desk study: public gallery, pricing, who it's for</t>
  </si>
  <si>
    <t xml:space="preserve">No free tier (Field sketch)</t>
  </si>
  <si>
    <t xml:space="preserve">Midjourney: Still the taste leader? A desk study | Specimen Nº006</t>
  </si>
  <si>
    <t xml:space="preserve">#aiart #aiimage #design #specimindlab</t>
  </si>
  <si>
    <t xml:space="preserve">E007</t>
  </si>
  <si>
    <t xml:space="preserve">007</t>
  </si>
  <si>
    <t xml:space="preserve">ElevenLabs</t>
  </si>
  <si>
    <t xml:space="preserve">Audio</t>
  </si>
  <si>
    <t xml:space="preserve">Sound effects from a sentence, not a library.</t>
  </si>
  <si>
    <t xml:space="preserve">Generate 'drawer sliding shut in a museum' SFX</t>
  </si>
  <si>
    <t xml:space="preserve">Free: monthly characters, attribution required</t>
  </si>
  <si>
    <t xml:space="preserve">ElevenLabs: Sound effects from a sentence, not a library | Specimen Nº007</t>
  </si>
  <si>
    <t xml:space="preserve">#aimusic #audio #soundeffects #specimindlab</t>
  </si>
  <si>
    <t xml:space="preserve">E008</t>
  </si>
  <si>
    <t xml:space="preserve">Mimicry</t>
  </si>
  <si>
    <t xml:space="preserve">M01</t>
  </si>
  <si>
    <t xml:space="preserve">Photoroom</t>
  </si>
  <si>
    <t xml:space="preserve">A product photo: real or Photoroom?</t>
  </si>
  <si>
    <t xml:space="preserve">Make the AI side on the free tier; shoot the real side ourselves; comment A or B</t>
  </si>
  <si>
    <t xml:space="preserve">Free tier</t>
  </si>
  <si>
    <t xml:space="preserve">Unpaid (the reveal names the tool)</t>
  </si>
  <si>
    <t xml:space="preserve">A product photo: real or Photoroom? | Mimicry M01</t>
  </si>
  <si>
    <t xml:space="preserve">#aiart #aiimage #design #aiorreal #specimindlab</t>
  </si>
  <si>
    <t xml:space="preserve">E009</t>
  </si>
  <si>
    <t xml:space="preserve">Dissection</t>
  </si>
  <si>
    <t xml:space="preserve">D01</t>
  </si>
  <si>
    <t xml:space="preserve">Phone photo to an animated 3D character.</t>
  </si>
  <si>
    <t xml:space="preserve">Photo to mesh, auto-rig, walk cycle, all free tier</t>
  </si>
  <si>
    <t xml:space="preserve">Free tiers only</t>
  </si>
  <si>
    <t xml:space="preserve">Mixed</t>
  </si>
  <si>
    <t xml:space="preserve">Phone photo to an animated 3D character with free AI tools | Dissection D01</t>
  </si>
  <si>
    <t xml:space="preserve">#3dmodeling #ai3d #3dprinting #workflow #specimindlab</t>
  </si>
  <si>
    <t xml:space="preserve">E010</t>
  </si>
  <si>
    <t xml:space="preserve">009</t>
  </si>
  <si>
    <t xml:space="preserve">Hitem3D</t>
  </si>
  <si>
    <t xml:space="preserve">A 3D tool built for people who own a 3D printer.</t>
  </si>
  <si>
    <t xml:space="preserve">Figurine photo to watertight, print-ready mesh</t>
  </si>
  <si>
    <t xml:space="preserve">Free tier (verify)</t>
  </si>
  <si>
    <t xml:space="preserve">Hitem3D: A 3D tool built for people who own a 3D printer | Specimen Nº009</t>
  </si>
  <si>
    <t xml:space="preserve">E011</t>
  </si>
  <si>
    <t xml:space="preserve">010</t>
  </si>
  <si>
    <t xml:space="preserve">Gamma</t>
  </si>
  <si>
    <t xml:space="preserve">Work</t>
  </si>
  <si>
    <t xml:space="preserve">A whole slide deck from one sentence.</t>
  </si>
  <si>
    <t xml:space="preserve">10-slide deck on composting; count fixes needed</t>
  </si>
  <si>
    <t xml:space="preserve">Free credits</t>
  </si>
  <si>
    <t xml:space="preserve">Gamma: A whole slide deck from one sentence | Specimen Nº010</t>
  </si>
  <si>
    <t xml:space="preserve">#productivity #studytips #worktools #specimindlab</t>
  </si>
  <si>
    <t xml:space="preserve">E012</t>
  </si>
  <si>
    <t xml:space="preserve">011</t>
  </si>
  <si>
    <t xml:space="preserve">Gemini image</t>
  </si>
  <si>
    <t xml:space="preserve">Edit a photo by typing what to change.</t>
  </si>
  <si>
    <t xml:space="preserve">Remove a person from a beach photo, then relight it</t>
  </si>
  <si>
    <t xml:space="preserve">Free in Gemini app</t>
  </si>
  <si>
    <t xml:space="preserve">Gemini image: Edit a photo by typing what to change | Specimen Nº011</t>
  </si>
  <si>
    <t xml:space="preserve">E013</t>
  </si>
  <si>
    <t xml:space="preserve">The Drawer</t>
  </si>
  <si>
    <t xml:space="preserve">Built from the week's renders</t>
  </si>
  <si>
    <t xml:space="preserve">W01</t>
  </si>
  <si>
    <t xml:space="preserve">This week's specimens</t>
  </si>
  <si>
    <t xml:space="preserve">All</t>
  </si>
  <si>
    <t xml:space="preserve">Week 1: every specimen we pinned.</t>
  </si>
  <si>
    <t xml:space="preserve">Recap each label + verdict in 30 s; end on next week's teaser</t>
  </si>
  <si>
    <t xml:space="preserve">No tool use</t>
  </si>
  <si>
    <t xml:space="preserve">n/a</t>
  </si>
  <si>
    <t xml:space="preserve">Every AI tool we tested this week | The Drawer W01</t>
  </si>
  <si>
    <t xml:space="preserve">#aitools #weeklyrecap #specimindlab</t>
  </si>
  <si>
    <t xml:space="preserve">E014</t>
  </si>
  <si>
    <t xml:space="preserve">Extinction Watch</t>
  </si>
  <si>
    <t xml:space="preserve">X01</t>
  </si>
  <si>
    <t xml:space="preserve">See test</t>
  </si>
  <si>
    <t xml:space="preserve">Any</t>
  </si>
  <si>
    <t xml:space="preserve">Sora is gone. What replaced it?</t>
  </si>
  <si>
    <t xml:space="preserve">OpenAI closed the Sora app in Apr 2026 and the API on 24 Sep 2026; compare 3 free successors</t>
  </si>
  <si>
    <t xml:space="preserve">Desk study</t>
  </si>
  <si>
    <t xml:space="preserve">Sora is gone. What replaced it? | Extinction Watch X01</t>
  </si>
  <si>
    <t xml:space="preserve">#ainews #aitools #specimindlab</t>
  </si>
  <si>
    <t xml:space="preserve">E015</t>
  </si>
  <si>
    <t xml:space="preserve">008</t>
  </si>
  <si>
    <t xml:space="preserve">Bedroom product photo to studio shot.</t>
  </si>
  <si>
    <t xml:space="preserve">Messy-table product photo to clean studio background</t>
  </si>
  <si>
    <t xml:space="preserve">Photoroom: Bedroom product photo to studio shot | Specimen Nº008</t>
  </si>
  <si>
    <t xml:space="preserve">E016</t>
  </si>
  <si>
    <t xml:space="preserve">012</t>
  </si>
  <si>
    <t xml:space="preserve">NotebookLM</t>
  </si>
  <si>
    <t xml:space="preserve">Upload a textbook, get a two-host podcast.</t>
  </si>
  <si>
    <t xml:space="preserve">Chapter PDF to audio overview; check accuracy</t>
  </si>
  <si>
    <t xml:space="preserve">Free</t>
  </si>
  <si>
    <t xml:space="preserve">NotebookLM: Upload a textbook, get a two-host podcast | Specimen Nº012</t>
  </si>
  <si>
    <t xml:space="preserve">E017</t>
  </si>
  <si>
    <t xml:space="preserve">013</t>
  </si>
  <si>
    <t xml:space="preserve">Happy Shrimp</t>
  </si>
  <si>
    <t xml:space="preserve">Alibaba's new song generator, spotted early.</t>
  </si>
  <si>
    <t xml:space="preserve">Same lo-fi prompt as Suno, compare structure</t>
  </si>
  <si>
    <t xml:space="preserve">Free (verify)</t>
  </si>
  <si>
    <t xml:space="preserve">Happy Shrimp: Alibaba's new song generator, spotted early | Specimen Nº013</t>
  </si>
  <si>
    <t xml:space="preserve">E018</t>
  </si>
  <si>
    <t xml:space="preserve">014</t>
  </si>
  <si>
    <t xml:space="preserve">Lovable</t>
  </si>
  <si>
    <t xml:space="preserve">Build</t>
  </si>
  <si>
    <t xml:space="preserve">An app from one paragraph. Does it run?</t>
  </si>
  <si>
    <t xml:space="preserve">Habit tracker from one paragraph; test 3 features</t>
  </si>
  <si>
    <t xml:space="preserve">Free daily credits</t>
  </si>
  <si>
    <t xml:space="preserve">Lovable: An app from one paragraph. Does it run | Specimen Nº014</t>
  </si>
  <si>
    <t xml:space="preserve">#nocode #vibecoding #appdev #specimindlab</t>
  </si>
  <si>
    <t xml:space="preserve">E019</t>
  </si>
  <si>
    <t xml:space="preserve">P02</t>
  </si>
  <si>
    <t xml:space="preserve">Kling 3.0 vs Hailuo (MiniMax) vs Seedance (Dreamina)</t>
  </si>
  <si>
    <t xml:space="preserve">Same prompt, three free video models.</t>
  </si>
  <si>
    <t xml:space="preserve">'Steam rising from a cup by a rainy window', 5 s each</t>
  </si>
  <si>
    <t xml:space="preserve">Kling 3.0 vs Hailuo (MiniMax) vs Seedance (Dreamina): same prompt, three free video models | Plate P02</t>
  </si>
  <si>
    <t xml:space="preserve">#aivideo #videogeneration #filmmaking #aicomparison #specimindlab</t>
  </si>
  <si>
    <t xml:space="preserve">E020</t>
  </si>
  <si>
    <t xml:space="preserve">017</t>
  </si>
  <si>
    <t xml:space="preserve">Veo 3.1 (Flow)</t>
  </si>
  <si>
    <t xml:space="preserve">The most realistic video model, on paper.</t>
  </si>
  <si>
    <t xml:space="preserve">Desk study: public examples, prices, access</t>
  </si>
  <si>
    <t xml:space="preserve">Paid Google AI plan (Field sketch)</t>
  </si>
  <si>
    <t xml:space="preserve">Veo 3.1 (Flow): The most realistic video model, on paper | Specimen Nº017</t>
  </si>
  <si>
    <t xml:space="preserve">E021</t>
  </si>
  <si>
    <t xml:space="preserve">005</t>
  </si>
  <si>
    <t xml:space="preserve">Meshy</t>
  </si>
  <si>
    <t xml:space="preserve">Can a free 3D tool make a game-ready sword?</t>
  </si>
  <si>
    <t xml:space="preserve">Text prompt to a low-poly sword; check polygon count</t>
  </si>
  <si>
    <t xml:space="preserve">Free: 100 credits/mo, CC BY 4.0 (credit Meshy)</t>
  </si>
  <si>
    <t xml:space="preserve">Meshy: Can a free 3D tool make a game-ready sword | Specimen Nº005</t>
  </si>
  <si>
    <t xml:space="preserve">E022</t>
  </si>
  <si>
    <t xml:space="preserve">M02</t>
  </si>
  <si>
    <t xml:space="preserve">A mug: phone photo or Tripo render?</t>
  </si>
  <si>
    <t xml:space="preserve">A mug: phone photo or Tripo render? | Mimicry M02</t>
  </si>
  <si>
    <t xml:space="preserve">#3dmodeling #ai3d #3dprinting #aiorreal #specimindlab</t>
  </si>
  <si>
    <t xml:space="preserve">E023</t>
  </si>
  <si>
    <t xml:space="preserve">D02</t>
  </si>
  <si>
    <t xml:space="preserve">Tripo + Hitem3D</t>
  </si>
  <si>
    <t xml:space="preserve">Sketch to a 3D-printable toy.</t>
  </si>
  <si>
    <t xml:space="preserve">Pencil sketch to mesh, sliced in free Bambu Studio</t>
  </si>
  <si>
    <t xml:space="preserve">Sketch to a 3D-printable toy with free AI tools | Dissection D02</t>
  </si>
  <si>
    <t xml:space="preserve">E024</t>
  </si>
  <si>
    <t xml:space="preserve">018</t>
  </si>
  <si>
    <t xml:space="preserve">Hookest</t>
  </si>
  <si>
    <t xml:space="preserve">Creator</t>
  </si>
  <si>
    <t xml:space="preserve">A swipe file of viral video hooks.</t>
  </si>
  <si>
    <t xml:space="preserve">Find 5 hooks for an AI-tool video; rate them</t>
  </si>
  <si>
    <t xml:space="preserve">Hookest: A swipe file of viral video hooks | Specimen Nº018</t>
  </si>
  <si>
    <t xml:space="preserve">#contentcreator #videoediting #shortsediting #specimindlab</t>
  </si>
  <si>
    <t xml:space="preserve">E025</t>
  </si>
  <si>
    <t xml:space="preserve">019</t>
  </si>
  <si>
    <t xml:space="preserve">Ideogram</t>
  </si>
  <si>
    <t xml:space="preserve">The image model that's best at words.</t>
  </si>
  <si>
    <t xml:space="preserve">Poster with 3 lines of exact text</t>
  </si>
  <si>
    <t xml:space="preserve">Ideogram: The image model that's best at words | Specimen Nº019</t>
  </si>
  <si>
    <t xml:space="preserve">E026</t>
  </si>
  <si>
    <t xml:space="preserve">020</t>
  </si>
  <si>
    <t xml:space="preserve">Adobe Podcast Enhance</t>
  </si>
  <si>
    <t xml:space="preserve">Make a phone recording sound like a studio.</t>
  </si>
  <si>
    <t xml:space="preserve">Bathroom-echo recording, enhance, A/B</t>
  </si>
  <si>
    <t xml:space="preserve">Adobe Podcast Enhance: Make a phone recording sound like a studio | Specimen Nº020</t>
  </si>
  <si>
    <t xml:space="preserve">E027</t>
  </si>
  <si>
    <t xml:space="preserve">W02</t>
  </si>
  <si>
    <t xml:space="preserve">Week 2: every specimen we pinned.</t>
  </si>
  <si>
    <t xml:space="preserve">Every AI tool we tested this week | The Drawer W02</t>
  </si>
  <si>
    <t xml:space="preserve">E028</t>
  </si>
  <si>
    <t xml:space="preserve">021</t>
  </si>
  <si>
    <t xml:space="preserve">Chit</t>
  </si>
  <si>
    <t xml:space="preserve">A printed receipt of your day in Claude Code.</t>
  </si>
  <si>
    <t xml:space="preserve">Run for one coding day; show the receipt</t>
  </si>
  <si>
    <t xml:space="preserve">Chit: A printed receipt of your day in Claude Code | Specimen Nº021</t>
  </si>
  <si>
    <t xml:space="preserve">E029</t>
  </si>
  <si>
    <t xml:space="preserve">022</t>
  </si>
  <si>
    <t xml:space="preserve">HeyGen</t>
  </si>
  <si>
    <t xml:space="preserve">Avatar</t>
  </si>
  <si>
    <t xml:space="preserve">Your photo, speaking six languages.</t>
  </si>
  <si>
    <t xml:space="preserve">Photo avatar reads one line in 3 languages</t>
  </si>
  <si>
    <t xml:space="preserve">Free plan, short videos</t>
  </si>
  <si>
    <t xml:space="preserve">HeyGen: Your photo, speaking six languages | Specimen Nº022</t>
  </si>
  <si>
    <t xml:space="preserve">#aiavatar #videomarketing #captions #specimindlab</t>
  </si>
  <si>
    <t xml:space="preserve">E030</t>
  </si>
  <si>
    <t xml:space="preserve">023</t>
  </si>
  <si>
    <t xml:space="preserve">Goblin Tools</t>
  </si>
  <si>
    <t xml:space="preserve">The free tool that breaks scary tasks into steps.</t>
  </si>
  <si>
    <t xml:space="preserve">'Clean the garage' into steps, spiciness slider</t>
  </si>
  <si>
    <t xml:space="preserve">Goblin Tools: The free tool that breaks scary tasks into steps | Specimen Nº023</t>
  </si>
  <si>
    <t xml:space="preserve">E031</t>
  </si>
  <si>
    <t xml:space="preserve">024</t>
  </si>
  <si>
    <t xml:space="preserve">Lovart</t>
  </si>
  <si>
    <t xml:space="preserve">A design agent that makes a whole brand kit.</t>
  </si>
  <si>
    <t xml:space="preserve">Brief: coffee cart brand; count usable assets</t>
  </si>
  <si>
    <t xml:space="preserve">Free credits (verify)</t>
  </si>
  <si>
    <t xml:space="preserve">Lovart: A design agent that makes a whole brand kit | Specimen Nº024</t>
  </si>
  <si>
    <t xml:space="preserve">E032</t>
  </si>
  <si>
    <t xml:space="preserve">025</t>
  </si>
  <si>
    <t xml:space="preserve">Descript</t>
  </si>
  <si>
    <t xml:space="preserve">Edit video by deleting words in a transcript.</t>
  </si>
  <si>
    <t xml:space="preserve">Remove all 'um's from a 2-minute recording</t>
  </si>
  <si>
    <t xml:space="preserve">Free plan</t>
  </si>
  <si>
    <t xml:space="preserve">Descript: Edit video by deleting words in a transcript | Specimen Nº025</t>
  </si>
  <si>
    <t xml:space="preserve">E033</t>
  </si>
  <si>
    <t xml:space="preserve">P03</t>
  </si>
  <si>
    <t xml:space="preserve">Ideogram vs Recraft vs Gemini image</t>
  </si>
  <si>
    <t xml:space="preserve">Same logo brief, three image models.</t>
  </si>
  <si>
    <t xml:space="preserve">Logo for 'Lantern Bakery' with exact spelling</t>
  </si>
  <si>
    <t xml:space="preserve">Check for program, No program known (Unpaid)</t>
  </si>
  <si>
    <t xml:space="preserve">Ideogram vs Recraft vs Gemini image: same logo brief, three image models | Plate P03</t>
  </si>
  <si>
    <t xml:space="preserve">#aiart #aiimage #design #aicomparison #specimindlab</t>
  </si>
  <si>
    <t xml:space="preserve">E034</t>
  </si>
  <si>
    <t xml:space="preserve">027</t>
  </si>
  <si>
    <t xml:space="preserve">Synthesia</t>
  </si>
  <si>
    <t xml:space="preserve">Corporate training videos without a camera.</t>
  </si>
  <si>
    <t xml:space="preserve">Desk study: plans, use cases, limits</t>
  </si>
  <si>
    <t xml:space="preserve">Free plan limited (Field sketch)</t>
  </si>
  <si>
    <t xml:space="preserve">Synthesia: Corporate training videos without a camera | Specimen Nº027</t>
  </si>
  <si>
    <t xml:space="preserve">E035</t>
  </si>
  <si>
    <t xml:space="preserve">016</t>
  </si>
  <si>
    <t xml:space="preserve">Seedance (Dreamina)</t>
  </si>
  <si>
    <t xml:space="preserve">The free video model with no watermark.</t>
  </si>
  <si>
    <t xml:space="preserve">Product shot of a shoe turning on a plinth</t>
  </si>
  <si>
    <t xml:space="preserve">Free daily credits, 1080p no watermark (verify)</t>
  </si>
  <si>
    <t xml:space="preserve">Seedance (Dreamina): The free video model with no watermark | Specimen Nº016</t>
  </si>
  <si>
    <t xml:space="preserve">E036</t>
  </si>
  <si>
    <t xml:space="preserve">M03</t>
  </si>
  <si>
    <t xml:space="preserve">Rain on glass: filmed or Kling?</t>
  </si>
  <si>
    <t xml:space="preserve">Rain on glass: filmed or Kling? | Mimicry M03</t>
  </si>
  <si>
    <t xml:space="preserve">#aivideo #videogeneration #filmmaking #aiorreal #specimindlab</t>
  </si>
  <si>
    <t xml:space="preserve">E037</t>
  </si>
  <si>
    <t xml:space="preserve">D03</t>
  </si>
  <si>
    <t xml:space="preserve">Ideogram + Photoroom + Lovable</t>
  </si>
  <si>
    <t xml:space="preserve">One idea to a launch page.</t>
  </si>
  <si>
    <t xml:space="preserve">Logo, product shot, landing page in under an hour</t>
  </si>
  <si>
    <t xml:space="preserve">One idea to a launch page with free AI tools | Dissection D03</t>
  </si>
  <si>
    <t xml:space="preserve">#aiart #aiimage #design #workflow #specimindlab</t>
  </si>
  <si>
    <t xml:space="preserve">E038</t>
  </si>
  <si>
    <t xml:space="preserve">028</t>
  </si>
  <si>
    <t xml:space="preserve">Vizcom</t>
  </si>
  <si>
    <t xml:space="preserve">Industrial designers' sketch-to-render tool.</t>
  </si>
  <si>
    <t xml:space="preserve">Napkin sketch of a kettle to product render</t>
  </si>
  <si>
    <t xml:space="preserve">Free plan (verify)</t>
  </si>
  <si>
    <t xml:space="preserve">Vizcom: Industrial designers' sketch-to-render tool | Specimen Nº028</t>
  </si>
  <si>
    <t xml:space="preserve">E039</t>
  </si>
  <si>
    <t xml:space="preserve">026</t>
  </si>
  <si>
    <t xml:space="preserve">Recraft</t>
  </si>
  <si>
    <t xml:space="preserve">AI that outputs real vector files, not pixels.</t>
  </si>
  <si>
    <t xml:space="preserve">Icon set of 6 kitchen tools as SVG</t>
  </si>
  <si>
    <t xml:space="preserve">Recraft: AI that outputs real vector files, not pixels | Specimen Nº026</t>
  </si>
  <si>
    <t xml:space="preserve">E040</t>
  </si>
  <si>
    <t xml:space="preserve">029</t>
  </si>
  <si>
    <t xml:space="preserve">Google Stitch</t>
  </si>
  <si>
    <t xml:space="preserve">Describe an app screen, get editable designs.</t>
  </si>
  <si>
    <t xml:space="preserve">Plant-care app home screen, export</t>
  </si>
  <si>
    <t xml:space="preserve">Free (Google Labs)</t>
  </si>
  <si>
    <t xml:space="preserve">Google Stitch: Describe an app screen, get editable designs | Specimen Nº029</t>
  </si>
  <si>
    <t xml:space="preserve">E041</t>
  </si>
  <si>
    <t xml:space="preserve">W03</t>
  </si>
  <si>
    <t xml:space="preserve">Week 3: every specimen we pinned.</t>
  </si>
  <si>
    <t xml:space="preserve">Every AI tool we tested this week | The Drawer W03</t>
  </si>
  <si>
    <t xml:space="preserve">E042</t>
  </si>
  <si>
    <t xml:space="preserve">X02</t>
  </si>
  <si>
    <t xml:space="preserve">Free Gemini just got smaller</t>
  </si>
  <si>
    <t xml:space="preserve">From 9 Oct 2026 free users move to Flash-Lite; what still works free</t>
  </si>
  <si>
    <t xml:space="preserve">Free Gemini just got smaller | Extinction Watch X02</t>
  </si>
  <si>
    <t xml:space="preserve">E043</t>
  </si>
  <si>
    <t xml:space="preserve">030</t>
  </si>
  <si>
    <t xml:space="preserve">Suno</t>
  </si>
  <si>
    <t xml:space="preserve">A full song from a two-line prompt.</t>
  </si>
  <si>
    <t xml:space="preserve">Lo-fi track about a lost umbrella; note structure</t>
  </si>
  <si>
    <t xml:space="preserve">Free daily credits, non-commercial</t>
  </si>
  <si>
    <t xml:space="preserve">Suno: A full song from a two-line prompt | Specimen Nº030</t>
  </si>
  <si>
    <t xml:space="preserve">E044</t>
  </si>
  <si>
    <t xml:space="preserve">031</t>
  </si>
  <si>
    <t xml:space="preserve">Napkin</t>
  </si>
  <si>
    <t xml:space="preserve">Paste a paragraph, get a diagram.</t>
  </si>
  <si>
    <t xml:space="preserve">Paste our brand thesis, get 3 diagram options</t>
  </si>
  <si>
    <t xml:space="preserve">Napkin: Paste a paragraph, get a diagram | Specimen Nº031</t>
  </si>
  <si>
    <t xml:space="preserve">E045</t>
  </si>
  <si>
    <t xml:space="preserve">032</t>
  </si>
  <si>
    <t xml:space="preserve">Tucky</t>
  </si>
  <si>
    <t xml:space="preserve">Notes docked to your screen edge, with an agent inside.</t>
  </si>
  <si>
    <t xml:space="preserve">Ask the agent to summarise a doc from the dock</t>
  </si>
  <si>
    <t xml:space="preserve">Tucky: Notes docked to your screen edge, with an agent inside | Specimen Nº032</t>
  </si>
  <si>
    <t xml:space="preserve">E046</t>
  </si>
  <si>
    <t xml:space="preserve">033</t>
  </si>
  <si>
    <t xml:space="preserve">Wispr Flow</t>
  </si>
  <si>
    <t xml:space="preserve">Type with your voice at 3x speed?</t>
  </si>
  <si>
    <t xml:space="preserve">Dictate a 150-word email, count edits</t>
  </si>
  <si>
    <t xml:space="preserve">Wispr Flow: Type with your voice at 3x speed | Specimen Nº033</t>
  </si>
  <si>
    <t xml:space="preserve">E047</t>
  </si>
  <si>
    <t xml:space="preserve">P04</t>
  </si>
  <si>
    <t xml:space="preserve">Photoroom vs Clipdrop vs Canva AI</t>
  </si>
  <si>
    <t xml:space="preserve">Same product photo, three cleanups.</t>
  </si>
  <si>
    <t xml:space="preserve">One cluttered-table shot of a candle</t>
  </si>
  <si>
    <t xml:space="preserve">Photoroom vs Clipdrop vs Canva AI: same product photo, three cleanups | Plate P04</t>
  </si>
  <si>
    <t xml:space="preserve">E048</t>
  </si>
  <si>
    <t xml:space="preserve">036</t>
  </si>
  <si>
    <t xml:space="preserve">Magnific</t>
  </si>
  <si>
    <t xml:space="preserve">The upscaler that invents detail. Is that honest?</t>
  </si>
  <si>
    <t xml:space="preserve">Desk study: before/after examples from public gallery</t>
  </si>
  <si>
    <t xml:space="preserve">Paid (Field sketch)</t>
  </si>
  <si>
    <t xml:space="preserve">Magnific: The upscaler that invents detail. Is that honest | Specimen Nº036</t>
  </si>
  <si>
    <t xml:space="preserve">E049</t>
  </si>
  <si>
    <t xml:space="preserve">037</t>
  </si>
  <si>
    <t xml:space="preserve">OpusClip</t>
  </si>
  <si>
    <t xml:space="preserve">One long video, ten shorts, zero editing.</t>
  </si>
  <si>
    <t xml:space="preserve">Clip a 10-minute public-domain lecture</t>
  </si>
  <si>
    <t xml:space="preserve">Free monthly minutes</t>
  </si>
  <si>
    <t xml:space="preserve">OpusClip: One long video, ten shorts, zero editing | Specimen Nº037</t>
  </si>
  <si>
    <t xml:space="preserve">E050</t>
  </si>
  <si>
    <t xml:space="preserve">M04</t>
  </si>
  <si>
    <t xml:space="preserve">A mountain at dawn: photo or Gemini?</t>
  </si>
  <si>
    <t xml:space="preserve">A mountain at dawn: photo or Gemini? | Mimicry M04</t>
  </si>
  <si>
    <t xml:space="preserve">E051</t>
  </si>
  <si>
    <t xml:space="preserve">D04</t>
  </si>
  <si>
    <t xml:space="preserve">Gemini image + Kling 3.0</t>
  </si>
  <si>
    <t xml:space="preserve">Still image to a short film shot.</t>
  </si>
  <si>
    <t xml:space="preserve">Generate a frame, animate it, add our own SFX</t>
  </si>
  <si>
    <t xml:space="preserve">Still image to a short film shot with free AI tools | Dissection D04</t>
  </si>
  <si>
    <t xml:space="preserve">E052</t>
  </si>
  <si>
    <t xml:space="preserve">038</t>
  </si>
  <si>
    <t xml:space="preserve">Socrates AI</t>
  </si>
  <si>
    <t xml:space="preserve">The AI that refuses to think for you.</t>
  </si>
  <si>
    <t xml:space="preserve">Ask it to write an essay; see what it does</t>
  </si>
  <si>
    <t xml:space="preserve">Socrates AI: The AI that refuses to think for you | Specimen Nº038</t>
  </si>
  <si>
    <t xml:space="preserve">E053</t>
  </si>
  <si>
    <t xml:space="preserve">039</t>
  </si>
  <si>
    <t xml:space="preserve">Krea</t>
  </si>
  <si>
    <t xml:space="preserve">Draw badly. Watch it render in real time.</t>
  </si>
  <si>
    <t xml:space="preserve">Live canvas: stick figure to portrait</t>
  </si>
  <si>
    <t xml:space="preserve">Krea: Draw badly. Watch it render in real time | Specimen Nº039</t>
  </si>
  <si>
    <t xml:space="preserve">E054</t>
  </si>
  <si>
    <t xml:space="preserve">040</t>
  </si>
  <si>
    <t xml:space="preserve">ChatGPT Images 2.5</t>
  </si>
  <si>
    <t xml:space="preserve">Can it finally spell a menu correctly?</t>
  </si>
  <si>
    <t xml:space="preserve">Cafe menu with 12 items; count spelling errors</t>
  </si>
  <si>
    <t xml:space="preserve">Free tier with limits</t>
  </si>
  <si>
    <t xml:space="preserve">ChatGPT Images 2.5: Can it finally spell a menu correctly | Specimen Nº040</t>
  </si>
  <si>
    <t xml:space="preserve">E055</t>
  </si>
  <si>
    <t xml:space="preserve">W04</t>
  </si>
  <si>
    <t xml:space="preserve">Week 4: every specimen we pinned.</t>
  </si>
  <si>
    <t xml:space="preserve">Every AI tool we tested this week | The Drawer W04</t>
  </si>
  <si>
    <t xml:space="preserve">E056</t>
  </si>
  <si>
    <t xml:space="preserve">041</t>
  </si>
  <si>
    <t xml:space="preserve">Minimi</t>
  </si>
  <si>
    <t xml:space="preserve">An AI cat that closes your open loops.</t>
  </si>
  <si>
    <t xml:space="preserve">Give it 5 loose tasks for a day</t>
  </si>
  <si>
    <t xml:space="preserve">Minimi: An AI cat that closes your open loops | Specimen Nº041</t>
  </si>
  <si>
    <t xml:space="preserve">E057</t>
  </si>
  <si>
    <t xml:space="preserve">015</t>
  </si>
  <si>
    <t xml:space="preserve">Hailuo (MiniMax)</t>
  </si>
  <si>
    <t xml:space="preserve">The most free AI video clips per day?</t>
  </si>
  <si>
    <t xml:space="preserve">Cat jumping onto a windowsill, text-to-video</t>
  </si>
  <si>
    <t xml:space="preserve">Free daily clips</t>
  </si>
  <si>
    <t xml:space="preserve">Hailuo (MiniMax): The most free AI video clips per day | Specimen Nº015</t>
  </si>
  <si>
    <t xml:space="preserve">E058</t>
  </si>
  <si>
    <t xml:space="preserve">042</t>
  </si>
  <si>
    <t xml:space="preserve">Wan (open-source)</t>
  </si>
  <si>
    <t xml:space="preserve">Open-source AI video you can run for free.</t>
  </si>
  <si>
    <t xml:space="preserve">Text-to-video in a public HF Space; note queue time</t>
  </si>
  <si>
    <t xml:space="preserve">Open weights; free Hugging Face demos</t>
  </si>
  <si>
    <t xml:space="preserve">Wan (open-source): Open-source AI video you can run for free | Specimen Nº042</t>
  </si>
  <si>
    <t xml:space="preserve">E059</t>
  </si>
  <si>
    <t xml:space="preserve">TBD</t>
  </si>
  <si>
    <t xml:space="preserve">Pick from that week's Product Hunt / Exploding Topics</t>
  </si>
  <si>
    <t xml:space="preserve">Spotted this week, before it trends.</t>
  </si>
  <si>
    <t xml:space="preserve">Find a launch &lt; 7 days old with a free tier; one try</t>
  </si>
  <si>
    <t xml:space="preserve">Must have a free tier</t>
  </si>
  <si>
    <t xml:space="preserve">Unpaid unless approved</t>
  </si>
  <si>
    <t xml:space="preserve">Rare sighting: &lt;tool&gt; | Specimen Nº&lt;next&gt;</t>
  </si>
  <si>
    <t xml:space="preserve">#aitools #newai #specimindlab</t>
  </si>
  <si>
    <t xml:space="preserve">E060</t>
  </si>
  <si>
    <t xml:space="preserve">043</t>
  </si>
  <si>
    <t xml:space="preserve">Bolt</t>
  </si>
  <si>
    <t xml:space="preserve">A website you can deploy in one prompt.</t>
  </si>
  <si>
    <t xml:space="preserve">Portfolio site from one prompt; deploy</t>
  </si>
  <si>
    <t xml:space="preserve">Free tokens</t>
  </si>
  <si>
    <t xml:space="preserve">Bolt: A website you can deploy in one prompt | Specimen Nº043</t>
  </si>
  <si>
    <t xml:space="preserve">E061</t>
  </si>
  <si>
    <t xml:space="preserve">2 Classify</t>
  </si>
  <si>
    <t xml:space="preserve">P05</t>
  </si>
  <si>
    <t xml:space="preserve">Suno vs Udio vs Producer AI</t>
  </si>
  <si>
    <t xml:space="preserve">Same song prompt, three music models.</t>
  </si>
  <si>
    <t xml:space="preserve">'Upbeat ukulele song about Mondays', 30 s</t>
  </si>
  <si>
    <t xml:space="preserve">Suno vs Udio vs Producer AI: same song prompt, three music models | Plate P05</t>
  </si>
  <si>
    <t xml:space="preserve">#aimusic #audio #soundeffects #aicomparison #specimindlab</t>
  </si>
  <si>
    <t xml:space="preserve">E062</t>
  </si>
  <si>
    <t xml:space="preserve">046</t>
  </si>
  <si>
    <t xml:space="preserve">Seedance 2.5</t>
  </si>
  <si>
    <t xml:space="preserve">The video model everyone's asking about.</t>
  </si>
  <si>
    <t xml:space="preserve">Desk study: where it's available, cost per second</t>
  </si>
  <si>
    <t xml:space="preserve">Access varies (Field sketch)</t>
  </si>
  <si>
    <t xml:space="preserve">Seedance 2.5: The video model everyone's asking about | Specimen Nº046</t>
  </si>
  <si>
    <t xml:space="preserve">E063</t>
  </si>
  <si>
    <t xml:space="preserve">047</t>
  </si>
  <si>
    <t xml:space="preserve">Rodin (Hyper3D)</t>
  </si>
  <si>
    <t xml:space="preserve">The most detailed AI 3D model we've pinned so far?</t>
  </si>
  <si>
    <t xml:space="preserve">Sneaker photo to high-detail mesh; zoom on stitching</t>
  </si>
  <si>
    <t xml:space="preserve">Free to generate; downloads paid (verify)</t>
  </si>
  <si>
    <t xml:space="preserve">Rodin (Hyper3D): The most detailed AI 3D model we've pinned so far | Specimen Nº047</t>
  </si>
  <si>
    <t xml:space="preserve">E064</t>
  </si>
  <si>
    <t xml:space="preserve">M05</t>
  </si>
  <si>
    <t xml:space="preserve">Adobe Firefly</t>
  </si>
  <si>
    <t xml:space="preserve">A living room: staged or Firefly?</t>
  </si>
  <si>
    <t xml:space="preserve">Free monthly generative credits</t>
  </si>
  <si>
    <t xml:space="preserve">A living room: staged or Firefly? | Mimicry M05</t>
  </si>
  <si>
    <t xml:space="preserve">E065</t>
  </si>
  <si>
    <t xml:space="preserve">D05</t>
  </si>
  <si>
    <t xml:space="preserve">Photoroom + Seedance (Dreamina)</t>
  </si>
  <si>
    <t xml:space="preserve">Product photo to a 6-second ad.</t>
  </si>
  <si>
    <t xml:space="preserve">Clean shot, then a slow orbit video</t>
  </si>
  <si>
    <t xml:space="preserve">Product photo to a 6-second ad with free AI tools | Dissection D05</t>
  </si>
  <si>
    <t xml:space="preserve">E066</t>
  </si>
  <si>
    <t xml:space="preserve">E067</t>
  </si>
  <si>
    <t xml:space="preserve">049</t>
  </si>
  <si>
    <t xml:space="preserve">Leonardo</t>
  </si>
  <si>
    <t xml:space="preserve">Game concept art on a free daily allowance.</t>
  </si>
  <si>
    <t xml:space="preserve">Character sheet: front, side, back</t>
  </si>
  <si>
    <t xml:space="preserve">Free daily tokens</t>
  </si>
  <si>
    <t xml:space="preserve">Leonardo: Game concept art on a free daily allowance | Specimen Nº049</t>
  </si>
  <si>
    <t xml:space="preserve">E068</t>
  </si>
  <si>
    <t xml:space="preserve">050</t>
  </si>
  <si>
    <t xml:space="preserve">Lisen</t>
  </si>
  <si>
    <t xml:space="preserve">Free read-aloud for any webpage.</t>
  </si>
  <si>
    <t xml:space="preserve">Read a long article; note voice quality</t>
  </si>
  <si>
    <t xml:space="preserve">Free (Chrome extension)</t>
  </si>
  <si>
    <t xml:space="preserve">Lisen: Free read-aloud for any webpage | Specimen Nº050</t>
  </si>
  <si>
    <t xml:space="preserve">E069</t>
  </si>
  <si>
    <t xml:space="preserve">W05</t>
  </si>
  <si>
    <t xml:space="preserve">Week 5: every specimen we pinned.</t>
  </si>
  <si>
    <t xml:space="preserve">Every AI tool we tested this week | The Drawer W05</t>
  </si>
  <si>
    <t xml:space="preserve">E070</t>
  </si>
  <si>
    <t xml:space="preserve">X03</t>
  </si>
  <si>
    <t xml:space="preserve">The AI Pin that didn't survive</t>
  </si>
  <si>
    <t xml:space="preserve">Humane AI Pin: what it promised, why it ended (verify dates)</t>
  </si>
  <si>
    <t xml:space="preserve">The AI Pin that didn't survive | Extinction Watch X03</t>
  </si>
  <si>
    <t xml:space="preserve">E071</t>
  </si>
  <si>
    <t xml:space="preserve">051</t>
  </si>
  <si>
    <t xml:space="preserve">Granola</t>
  </si>
  <si>
    <t xml:space="preserve">Meeting notes without a bot joining the call.</t>
  </si>
  <si>
    <t xml:space="preserve">Mock 5-minute meeting; compare notes to transcript</t>
  </si>
  <si>
    <t xml:space="preserve">Granola: Meeting notes without a bot joining the call | Specimen Nº051</t>
  </si>
  <si>
    <t xml:space="preserve">E072</t>
  </si>
  <si>
    <t xml:space="preserve">052</t>
  </si>
  <si>
    <t xml:space="preserve">Postiz</t>
  </si>
  <si>
    <t xml:space="preserve">The free open-source post scheduler.</t>
  </si>
  <si>
    <t xml:space="preserve">Schedule one post to 3 platforms</t>
  </si>
  <si>
    <t xml:space="preserve">Open-source, free self-host</t>
  </si>
  <si>
    <t xml:space="preserve">Postiz: The free open-source post scheduler | Specimen Nº052</t>
  </si>
  <si>
    <t xml:space="preserve">E073</t>
  </si>
  <si>
    <t xml:space="preserve">E074</t>
  </si>
  <si>
    <t xml:space="preserve">053</t>
  </si>
  <si>
    <t xml:space="preserve">Higgsfield</t>
  </si>
  <si>
    <t xml:space="preserve">Camera moves you'd normally need a drone for.</t>
  </si>
  <si>
    <t xml:space="preserve">Crash-zoom preset on a city photo</t>
  </si>
  <si>
    <t xml:space="preserve">Free tier, watermarked</t>
  </si>
  <si>
    <t xml:space="preserve">Higgsfield: Camera moves you'd normally need a drone for | Specimen Nº053</t>
  </si>
  <si>
    <t xml:space="preserve">E075</t>
  </si>
  <si>
    <t xml:space="preserve">P06</t>
  </si>
  <si>
    <t xml:space="preserve">Lovable vs Bolt vs v0</t>
  </si>
  <si>
    <t xml:space="preserve">Same app idea, three builders.</t>
  </si>
  <si>
    <t xml:space="preserve">'A water-intake tracker with a weekly chart'</t>
  </si>
  <si>
    <t xml:space="preserve">Lovable vs Bolt vs v0: same app idea, three builders | Plate P06</t>
  </si>
  <si>
    <t xml:space="preserve">#nocode #vibecoding #appdev #aicomparison #specimindlab</t>
  </si>
  <si>
    <t xml:space="preserve">E076</t>
  </si>
  <si>
    <t xml:space="preserve">055</t>
  </si>
  <si>
    <t xml:space="preserve">Colossyan</t>
  </si>
  <si>
    <t xml:space="preserve">Avatars that act out scenarios.</t>
  </si>
  <si>
    <t xml:space="preserve">Desk study: conversation-mode demo</t>
  </si>
  <si>
    <t xml:space="preserve">Trial (Field sketch)</t>
  </si>
  <si>
    <t xml:space="preserve">Colossyan: Avatars that act out scenarios | Specimen Nº055</t>
  </si>
  <si>
    <t xml:space="preserve">E077</t>
  </si>
  <si>
    <t xml:space="preserve">048</t>
  </si>
  <si>
    <t xml:space="preserve">Adobe's AI that's trained to be commercially safe.</t>
  </si>
  <si>
    <t xml:space="preserve">Generative expand a vertical photo to horizontal</t>
  </si>
  <si>
    <t xml:space="preserve">Adobe Firefly: Adobe's AI that's trained to be commercially safe | Specimen Nº048</t>
  </si>
  <si>
    <t xml:space="preserve">E078</t>
  </si>
  <si>
    <t xml:space="preserve">M06</t>
  </si>
  <si>
    <t xml:space="preserve">A cat jump: filmed or Hailuo?</t>
  </si>
  <si>
    <t xml:space="preserve">A cat jump: filmed or Hailuo? | Mimicry M06</t>
  </si>
  <si>
    <t xml:space="preserve">E079</t>
  </si>
  <si>
    <t xml:space="preserve">D06</t>
  </si>
  <si>
    <t xml:space="preserve">NotebookLM + OpusClip</t>
  </si>
  <si>
    <t xml:space="preserve">A PDF to a podcast to a short.</t>
  </si>
  <si>
    <t xml:space="preserve">Public-domain essay to audio overview to clip</t>
  </si>
  <si>
    <t xml:space="preserve">A PDF to a podcast to a short with free AI tools | Dissection D06</t>
  </si>
  <si>
    <t xml:space="preserve">#productivity #studytips #worktools #workflow #specimindlab</t>
  </si>
  <si>
    <t xml:space="preserve">E080</t>
  </si>
  <si>
    <t xml:space="preserve">E081</t>
  </si>
  <si>
    <t xml:space="preserve">056</t>
  </si>
  <si>
    <t xml:space="preserve">Captions</t>
  </si>
  <si>
    <t xml:space="preserve">Auto-captions that look designed.</t>
  </si>
  <si>
    <t xml:space="preserve">Caption a 20 s clip, count timing errors</t>
  </si>
  <si>
    <t xml:space="preserve">Captions: Auto-captions that look designed | Specimen Nº056</t>
  </si>
  <si>
    <t xml:space="preserve">E082</t>
  </si>
  <si>
    <t xml:space="preserve">057</t>
  </si>
  <si>
    <t xml:space="preserve">n8n</t>
  </si>
  <si>
    <t xml:space="preserve">The free automation tool power users self-host.</t>
  </si>
  <si>
    <t xml:space="preserve">Workflow: new YouTube upload to X post</t>
  </si>
  <si>
    <t xml:space="preserve">Free self-hosted</t>
  </si>
  <si>
    <t xml:space="preserve">n8n: The free automation tool power users self-host | Specimen Nº057</t>
  </si>
  <si>
    <t xml:space="preserve">E083</t>
  </si>
  <si>
    <t xml:space="preserve">W06</t>
  </si>
  <si>
    <t xml:space="preserve">Week 6: every specimen we pinned.</t>
  </si>
  <si>
    <t xml:space="preserve">Every AI tool we tested this week | The Drawer W06</t>
  </si>
  <si>
    <t xml:space="preserve">E084</t>
  </si>
  <si>
    <t xml:space="preserve">E085</t>
  </si>
  <si>
    <t xml:space="preserve">054</t>
  </si>
  <si>
    <t xml:space="preserve">v0</t>
  </si>
  <si>
    <t xml:space="preserve">UI components from a screenshot.</t>
  </si>
  <si>
    <t xml:space="preserve">Screenshot of a pricing page to working UI</t>
  </si>
  <si>
    <t xml:space="preserve">v0: UI components from a screenshot | Specimen Nº054</t>
  </si>
  <si>
    <t xml:space="preserve">E086</t>
  </si>
  <si>
    <t xml:space="preserve">045</t>
  </si>
  <si>
    <t xml:space="preserve">Producer AI</t>
  </si>
  <si>
    <t xml:space="preserve">Google's music collaborator, now in Labs.</t>
  </si>
  <si>
    <t xml:space="preserve">Build a melody, then change genre twice</t>
  </si>
  <si>
    <t xml:space="preserve">Free in Google Labs (verify)</t>
  </si>
  <si>
    <t xml:space="preserve">Producer AI: Google's music collaborator, now in Labs | Specimen Nº045</t>
  </si>
  <si>
    <t xml:space="preserve">E087</t>
  </si>
  <si>
    <t xml:space="preserve">E088</t>
  </si>
  <si>
    <t xml:space="preserve">058</t>
  </si>
  <si>
    <t xml:space="preserve">Runway</t>
  </si>
  <si>
    <t xml:space="preserve">Can you edit a video by describing the change?</t>
  </si>
  <si>
    <t xml:space="preserve">Change the weather in a 5 s clip from sunny to snow</t>
  </si>
  <si>
    <t xml:space="preserve">One-time free credits (verify)</t>
  </si>
  <si>
    <t xml:space="preserve">Runway: Can you edit a video by describing the change | Specimen Nº058</t>
  </si>
  <si>
    <t xml:space="preserve">E089</t>
  </si>
  <si>
    <t xml:space="preserve">P07</t>
  </si>
  <si>
    <t xml:space="preserve">Gamma vs Canva AI vs Napkin</t>
  </si>
  <si>
    <t xml:space="preserve">Same brief, three deck makers.</t>
  </si>
  <si>
    <t xml:space="preserve">5-slide deck: how compost works</t>
  </si>
  <si>
    <t xml:space="preserve">Gamma vs Canva AI vs Napkin: same brief, three deck makers | Plate P07</t>
  </si>
  <si>
    <t xml:space="preserve">#productivity #studytips #worktools #aicomparison #specimindlab</t>
  </si>
  <si>
    <t xml:space="preserve">E090</t>
  </si>
  <si>
    <t xml:space="preserve">059</t>
  </si>
  <si>
    <t xml:space="preserve">Perplexity Computer</t>
  </si>
  <si>
    <t xml:space="preserve">An AI that runs a whole project for you?</t>
  </si>
  <si>
    <t xml:space="preserve">Desk study: what it claims, what it costs</t>
  </si>
  <si>
    <t xml:space="preserve">Usage-based, paid (Field sketch)</t>
  </si>
  <si>
    <t xml:space="preserve">Perplexity Computer: An AI that runs a whole project for you | Specimen Nº059</t>
  </si>
  <si>
    <t xml:space="preserve">E091</t>
  </si>
  <si>
    <t xml:space="preserve">044</t>
  </si>
  <si>
    <t xml:space="preserve">Udio</t>
  </si>
  <si>
    <t xml:space="preserve">Can AI write a believable jazz trio?</t>
  </si>
  <si>
    <t xml:space="preserve">30 s jazz trio, check instrument separation</t>
  </si>
  <si>
    <t xml:space="preserve">Udio: Can AI write a believable jazz trio | Specimen Nº044</t>
  </si>
  <si>
    <t xml:space="preserve">E092</t>
  </si>
  <si>
    <t xml:space="preserve">M07</t>
  </si>
  <si>
    <t xml:space="preserve">A song intro: human or Suno?</t>
  </si>
  <si>
    <t xml:space="preserve">A song intro: human or Suno? | Mimicry M07</t>
  </si>
  <si>
    <t xml:space="preserve">#aimusic #audio #soundeffects #aiorreal #specimindlab</t>
  </si>
  <si>
    <t xml:space="preserve">E093</t>
  </si>
  <si>
    <t xml:space="preserve">D07</t>
  </si>
  <si>
    <t xml:space="preserve">AudioPen + Napkin</t>
  </si>
  <si>
    <t xml:space="preserve">Voice memo to a carousel.</t>
  </si>
  <si>
    <t xml:space="preserve">60 s ramble to 5-slide diagram carousel</t>
  </si>
  <si>
    <t xml:space="preserve">Voice memo to a carousel with free AI tools | Dissection D07</t>
  </si>
  <si>
    <t xml:space="preserve">E094</t>
  </si>
  <si>
    <t xml:space="preserve">E095</t>
  </si>
  <si>
    <t xml:space="preserve">061</t>
  </si>
  <si>
    <t xml:space="preserve">Spline</t>
  </si>
  <si>
    <t xml:space="preserve">An AI 3D scene you can embed on a website.</t>
  </si>
  <si>
    <t xml:space="preserve">Prompt a floating island scene, publish free link</t>
  </si>
  <si>
    <t xml:space="preserve">Spline: An AI 3D scene you can embed on a website | Specimen Nº061</t>
  </si>
  <si>
    <t xml:space="preserve">E096</t>
  </si>
  <si>
    <t xml:space="preserve">062</t>
  </si>
  <si>
    <t xml:space="preserve">Meta Edits AI agent</t>
  </si>
  <si>
    <t xml:space="preserve">Instagram's own editor now has an AI agent.</t>
  </si>
  <si>
    <t xml:space="preserve">Ask it to cut a 40 s clip to 15 s</t>
  </si>
  <si>
    <t xml:space="preserve">Free in Edits app</t>
  </si>
  <si>
    <t xml:space="preserve">Meta Edits AI agent: Instagram's own editor now has an AI agent | Specimen Nº062</t>
  </si>
  <si>
    <t xml:space="preserve">E097</t>
  </si>
  <si>
    <t xml:space="preserve">W07</t>
  </si>
  <si>
    <t xml:space="preserve">Week 7: every specimen we pinned.</t>
  </si>
  <si>
    <t xml:space="preserve">Every AI tool we tested this week | The Drawer W07</t>
  </si>
  <si>
    <t xml:space="preserve">E098</t>
  </si>
  <si>
    <t xml:space="preserve">X04</t>
  </si>
  <si>
    <t xml:space="preserve">When a free tier goes extinct</t>
  </si>
  <si>
    <t xml:space="preserve">A tool that cut or shrank its free plan this quarter (research that week)</t>
  </si>
  <si>
    <t xml:space="preserve">When a free tier goes extinct | Extinction Watch X04</t>
  </si>
  <si>
    <t xml:space="preserve">E099</t>
  </si>
  <si>
    <t xml:space="preserve">063</t>
  </si>
  <si>
    <t xml:space="preserve">Luma Dream Machine</t>
  </si>
  <si>
    <t xml:space="preserve">Keyframe A, keyframe B. AI fills the middle.</t>
  </si>
  <si>
    <t xml:space="preserve">Start and end frame of a paper plane path</t>
  </si>
  <si>
    <t xml:space="preserve">Luma Dream Machine: Keyframe A, keyframe B. AI fills the middle | Specimen Nº063</t>
  </si>
  <si>
    <t xml:space="preserve">E100</t>
  </si>
  <si>
    <t xml:space="preserve">064</t>
  </si>
  <si>
    <t xml:space="preserve">Google Photos AI Wardrobe</t>
  </si>
  <si>
    <t xml:space="preserve">Your camera roll, turned into a wardrobe.</t>
  </si>
  <si>
    <t xml:space="preserve">Build outfits from a month of photos</t>
  </si>
  <si>
    <t xml:space="preserve">Free in Google Photos</t>
  </si>
  <si>
    <t xml:space="preserve">Google Photos AI Wardrobe: Your camera roll, turned into a wardrobe | Specimen Nº064</t>
  </si>
  <si>
    <t xml:space="preserve">E101</t>
  </si>
  <si>
    <t xml:space="preserve">E102</t>
  </si>
  <si>
    <t xml:space="preserve">065</t>
  </si>
  <si>
    <t xml:space="preserve">Notion AI</t>
  </si>
  <si>
    <t xml:space="preserve">Your messy notes, turned into a plan.</t>
  </si>
  <si>
    <t xml:space="preserve">Messy meeting notes to task list</t>
  </si>
  <si>
    <t xml:space="preserve">Limited free trial</t>
  </si>
  <si>
    <t xml:space="preserve">Notion AI: Your messy notes, turned into a plan | Specimen Nº065</t>
  </si>
  <si>
    <t xml:space="preserve">E103</t>
  </si>
  <si>
    <t xml:space="preserve">P08</t>
  </si>
  <si>
    <t xml:space="preserve">Adobe Podcast Enhance vs LALAL.AI vs Descript</t>
  </si>
  <si>
    <t xml:space="preserve">Same echoey audio, three fixes.</t>
  </si>
  <si>
    <t xml:space="preserve">30 s bathroom recording</t>
  </si>
  <si>
    <t xml:space="preserve">Adobe Podcast Enhance vs LALAL.AI vs Descript: same echoey audio, three fixes | Plate P08</t>
  </si>
  <si>
    <t xml:space="preserve">E104</t>
  </si>
  <si>
    <t xml:space="preserve">067</t>
  </si>
  <si>
    <t xml:space="preserve">Arcads</t>
  </si>
  <si>
    <t xml:space="preserve">AI actors for ads. Where's the line?</t>
  </si>
  <si>
    <t xml:space="preserve">Desk study: what it does and disclosure rules</t>
  </si>
  <si>
    <t xml:space="preserve">Arcads: AI actors for ads. Where's the line | Specimen Nº067</t>
  </si>
  <si>
    <t xml:space="preserve">E105</t>
  </si>
  <si>
    <t xml:space="preserve">068</t>
  </si>
  <si>
    <t xml:space="preserve">Pika</t>
  </si>
  <si>
    <t xml:space="preserve">The fastest silly-effects video tool.</t>
  </si>
  <si>
    <t xml:space="preserve">Apply one effect to a photo of a teapot</t>
  </si>
  <si>
    <t xml:space="preserve">Pika: The fastest silly-effects video tool | Specimen Nº068</t>
  </si>
  <si>
    <t xml:space="preserve">E106</t>
  </si>
  <si>
    <t xml:space="preserve">M08</t>
  </si>
  <si>
    <t xml:space="preserve">A plate of pasta: photo or Ideogram?</t>
  </si>
  <si>
    <t xml:space="preserve">A plate of pasta: photo or Ideogram? | Mimicry M08</t>
  </si>
  <si>
    <t xml:space="preserve">E107</t>
  </si>
  <si>
    <t xml:space="preserve">D08</t>
  </si>
  <si>
    <t xml:space="preserve">Suno + LALAL.AI + Bloop</t>
  </si>
  <si>
    <t xml:space="preserve">A song in ten minutes, with stems.</t>
  </si>
  <si>
    <t xml:space="preserve">Generate, split stems, make a visualiser</t>
  </si>
  <si>
    <t xml:space="preserve">A song in ten minutes, with stems with free AI tools | Dissection D08</t>
  </si>
  <si>
    <t xml:space="preserve">#aimusic #audio #soundeffects #workflow #specimindlab</t>
  </si>
  <si>
    <t xml:space="preserve">E108</t>
  </si>
  <si>
    <t xml:space="preserve">E109</t>
  </si>
  <si>
    <t xml:space="preserve">035</t>
  </si>
  <si>
    <t xml:space="preserve">Canva AI</t>
  </si>
  <si>
    <t xml:space="preserve">One sentence to a whole social post.</t>
  </si>
  <si>
    <t xml:space="preserve">Design a bake-sale flyer from one sentence</t>
  </si>
  <si>
    <t xml:space="preserve">Free plan with AI limits</t>
  </si>
  <si>
    <t xml:space="preserve">Canva AI: One sentence to a whole social post | Specimen Nº035</t>
  </si>
  <si>
    <t xml:space="preserve">E110</t>
  </si>
  <si>
    <t xml:space="preserve">060</t>
  </si>
  <si>
    <t xml:space="preserve">AudioPen</t>
  </si>
  <si>
    <t xml:space="preserve">A rambling voice note becomes clean writing.</t>
  </si>
  <si>
    <t xml:space="preserve">60 s ramble to a tidy paragraph</t>
  </si>
  <si>
    <t xml:space="preserve">AudioPen: A rambling voice note becomes clean writing | Specimen Nº060</t>
  </si>
  <si>
    <t xml:space="preserve">E111</t>
  </si>
  <si>
    <t xml:space="preserve">W08</t>
  </si>
  <si>
    <t xml:space="preserve">Week 8: every specimen we pinned.</t>
  </si>
  <si>
    <t xml:space="preserve">Every AI tool we tested this week | The Drawer W08</t>
  </si>
  <si>
    <t xml:space="preserve">E112</t>
  </si>
  <si>
    <t xml:space="preserve">E113</t>
  </si>
  <si>
    <t xml:space="preserve">070</t>
  </si>
  <si>
    <t xml:space="preserve">Veed</t>
  </si>
  <si>
    <t xml:space="preserve">A whole video editor in a browser tab.</t>
  </si>
  <si>
    <t xml:space="preserve">Subtitle + resize a clip to 9:16</t>
  </si>
  <si>
    <t xml:space="preserve">Free plan, watermarked</t>
  </si>
  <si>
    <t xml:space="preserve">Veed: A whole video editor in a browser tab | Specimen Nº070</t>
  </si>
  <si>
    <t xml:space="preserve">E114</t>
  </si>
  <si>
    <t xml:space="preserve">071</t>
  </si>
  <si>
    <t xml:space="preserve">SAM 3D Objects</t>
  </si>
  <si>
    <t xml:space="preserve">Pull one object out of a messy photo, in 3D.</t>
  </si>
  <si>
    <t xml:space="preserve">Cluttered desk photo; reconstruct only the mug</t>
  </si>
  <si>
    <t xml:space="preserve">Open research model; free demo (verify)</t>
  </si>
  <si>
    <t xml:space="preserve">SAM 3D Objects: Pull one object out of a messy photo, in 3D | Specimen Nº071</t>
  </si>
  <si>
    <t xml:space="preserve">E115</t>
  </si>
  <si>
    <t xml:space="preserve">E116</t>
  </si>
  <si>
    <t xml:space="preserve">066</t>
  </si>
  <si>
    <t xml:space="preserve">LALAL.AI</t>
  </si>
  <si>
    <t xml:space="preserve">Pull the vocals out of any song.</t>
  </si>
  <si>
    <t xml:space="preserve">Split a royalty-free track into stems</t>
  </si>
  <si>
    <t xml:space="preserve">Free preview minutes</t>
  </si>
  <si>
    <t xml:space="preserve">LALAL.AI: Pull the vocals out of any song | Specimen Nº066</t>
  </si>
  <si>
    <t xml:space="preserve">E117</t>
  </si>
  <si>
    <t xml:space="preserve">P09</t>
  </si>
  <si>
    <t xml:space="preserve">Vizcom vs Krea vs Adobe Firefly</t>
  </si>
  <si>
    <t xml:space="preserve">Same sketch, three renders.</t>
  </si>
  <si>
    <t xml:space="preserve">A pen sketch of a desk lamp</t>
  </si>
  <si>
    <t xml:space="preserve">Vizcom vs Krea vs Adobe Firefly: same sketch, three renders | Plate P09</t>
  </si>
  <si>
    <t xml:space="preserve">E118</t>
  </si>
  <si>
    <t xml:space="preserve">072</t>
  </si>
  <si>
    <t xml:space="preserve">Jasper</t>
  </si>
  <si>
    <t xml:space="preserve">The enterprise marketing writer, examined.</t>
  </si>
  <si>
    <t xml:space="preserve">Desk study: brand voice features, pricing</t>
  </si>
  <si>
    <t xml:space="preserve">Jasper: The enterprise marketing writer, examined | Specimen Nº072</t>
  </si>
  <si>
    <t xml:space="preserve">E119</t>
  </si>
  <si>
    <t xml:space="preserve">073</t>
  </si>
  <si>
    <t xml:space="preserve">Freepik</t>
  </si>
  <si>
    <t xml:space="preserve">A stock site that now generates its own stock.</t>
  </si>
  <si>
    <t xml:space="preserve">Generate 4 flat-lay food photos, same style</t>
  </si>
  <si>
    <t xml:space="preserve">Freepik: A stock site that now generates its own stock | Specimen Nº073</t>
  </si>
  <si>
    <t xml:space="preserve">E120</t>
  </si>
  <si>
    <t xml:space="preserve">M09</t>
  </si>
  <si>
    <t xml:space="preserve">An app screen: shipped or Stitch?</t>
  </si>
  <si>
    <t xml:space="preserve">An app screen: shipped or Stitch? | Mimicry M09</t>
  </si>
  <si>
    <t xml:space="preserve">#nocode #vibecoding #appdev #aiorreal #specimindlab</t>
  </si>
  <si>
    <t xml:space="preserve">E121</t>
  </si>
  <si>
    <t xml:space="preserve">3 Curate</t>
  </si>
  <si>
    <t xml:space="preserve">D09</t>
  </si>
  <si>
    <t xml:space="preserve">Tripo + Spline</t>
  </si>
  <si>
    <t xml:space="preserve">AI 3D model into a free game engine.</t>
  </si>
  <si>
    <t xml:space="preserve">Drop a generated prop into an interactive scene</t>
  </si>
  <si>
    <t xml:space="preserve">AI 3D model into a free game engine with free AI tools | Dissection D09</t>
  </si>
  <si>
    <t xml:space="preserve">E122</t>
  </si>
  <si>
    <t xml:space="preserve">E123</t>
  </si>
  <si>
    <t xml:space="preserve">Revisited: Kling 3.0, harder test.</t>
  </si>
  <si>
    <t xml:space="preserve">Pick a new, harder test for a top-5 specimen by conversions (Scorecard)</t>
  </si>
  <si>
    <t xml:space="preserve">Kling 3.0: Revisited: Kling 3.0, harder test | Specimen Nº004</t>
  </si>
  <si>
    <t xml:space="preserve">E124</t>
  </si>
  <si>
    <t xml:space="preserve">074</t>
  </si>
  <si>
    <t xml:space="preserve">Sloyd</t>
  </si>
  <si>
    <t xml:space="preserve">3D props you tweak with sliders, not prompts.</t>
  </si>
  <si>
    <t xml:space="preserve">Build a lamp post by parameters, export GLB</t>
  </si>
  <si>
    <t xml:space="preserve">Sloyd: 3D props you tweak with sliders, not prompts | Specimen Nº074</t>
  </si>
  <si>
    <t xml:space="preserve">E125</t>
  </si>
  <si>
    <t xml:space="preserve">W09</t>
  </si>
  <si>
    <t xml:space="preserve">Week 9: every specimen we pinned.</t>
  </si>
  <si>
    <t xml:space="preserve">Every AI tool we tested this week | The Drawer W09</t>
  </si>
  <si>
    <t xml:space="preserve">E126</t>
  </si>
  <si>
    <t xml:space="preserve">X05</t>
  </si>
  <si>
    <t xml:space="preserve">Last year's best model, today</t>
  </si>
  <si>
    <t xml:space="preserve">Re-test a once-famous model version against its successor</t>
  </si>
  <si>
    <t xml:space="preserve">Last year's best model, today | Extinction Watch X05</t>
  </si>
  <si>
    <t xml:space="preserve">E127</t>
  </si>
  <si>
    <t xml:space="preserve">Revisited: ElevenLabs, harder test.</t>
  </si>
  <si>
    <t xml:space="preserve">ElevenLabs: Revisited: ElevenLabs, harder test | Specimen Nº007</t>
  </si>
  <si>
    <t xml:space="preserve">E128</t>
  </si>
  <si>
    <t xml:space="preserve">075</t>
  </si>
  <si>
    <t xml:space="preserve">3D AI Studio</t>
  </si>
  <si>
    <t xml:space="preserve">Several 3D models behind one button.</t>
  </si>
  <si>
    <t xml:space="preserve">Same toy photo through its model picker</t>
  </si>
  <si>
    <t xml:space="preserve">Free trial credits (verify)</t>
  </si>
  <si>
    <t xml:space="preserve">3D AI Studio: Several 3D models behind one button | Specimen Nº075</t>
  </si>
  <si>
    <t xml:space="preserve">E129</t>
  </si>
  <si>
    <t xml:space="preserve">E130</t>
  </si>
  <si>
    <t xml:space="preserve">076</t>
  </si>
  <si>
    <t xml:space="preserve">Murf</t>
  </si>
  <si>
    <t xml:space="preserve">Studio voiceover without a microphone.</t>
  </si>
  <si>
    <t xml:space="preserve">Same script in 3 voices, pick the most human</t>
  </si>
  <si>
    <t xml:space="preserve">Free trial</t>
  </si>
  <si>
    <t xml:space="preserve">Murf: Studio voiceover without a microphone | Specimen Nº076</t>
  </si>
  <si>
    <t xml:space="preserve">E131</t>
  </si>
  <si>
    <t xml:space="preserve">P10</t>
  </si>
  <si>
    <t xml:space="preserve">OpusClip vs Descript vs Veed</t>
  </si>
  <si>
    <t xml:space="preserve">Same lecture, three clippers.</t>
  </si>
  <si>
    <t xml:space="preserve">10-minute public-domain lecture to best 30 s</t>
  </si>
  <si>
    <t xml:space="preserve">Check for program, Confirmed program</t>
  </si>
  <si>
    <t xml:space="preserve">OpusClip vs Descript vs Veed: same lecture, three clippers | Plate P10</t>
  </si>
  <si>
    <t xml:space="preserve">#contentcreator #videoediting #shortsediting #aicomparison #specimindlab</t>
  </si>
  <si>
    <t xml:space="preserve">E132</t>
  </si>
  <si>
    <t xml:space="preserve">077</t>
  </si>
  <si>
    <t xml:space="preserve">Gemini Omni</t>
  </si>
  <si>
    <t xml:space="preserve">Multi-shot films from one prompt?</t>
  </si>
  <si>
    <t xml:space="preserve">Desk study: what's public so far</t>
  </si>
  <si>
    <t xml:space="preserve">Gemini Omni: Multi-shot films from one prompt | Specimen Nº077</t>
  </si>
  <si>
    <t xml:space="preserve">E133</t>
  </si>
  <si>
    <t xml:space="preserve">078</t>
  </si>
  <si>
    <t xml:space="preserve">Pictory</t>
  </si>
  <si>
    <t xml:space="preserve">Blog post to video, automatically.</t>
  </si>
  <si>
    <t xml:space="preserve">Turn a 600-word post into a 60 s video</t>
  </si>
  <si>
    <t xml:space="preserve">Pictory: Blog post to video, automatically | Specimen Nº078</t>
  </si>
  <si>
    <t xml:space="preserve">E134</t>
  </si>
  <si>
    <t xml:space="preserve">M10</t>
  </si>
  <si>
    <t xml:space="preserve">A coastline flyover: drone or Seedance?</t>
  </si>
  <si>
    <t xml:space="preserve">A coastline flyover: drone or Seedance? | Mimicry M10</t>
  </si>
  <si>
    <t xml:space="preserve">E135</t>
  </si>
  <si>
    <t xml:space="preserve">D10</t>
  </si>
  <si>
    <t xml:space="preserve">SAM 3D Objects + Hunyuan3D + Spline</t>
  </si>
  <si>
    <t xml:space="preserve">A whole room from one photo.</t>
  </si>
  <si>
    <t xml:space="preserve">Reconstruct 3 objects, rebuild the room</t>
  </si>
  <si>
    <t xml:space="preserve">A whole room from one photo with free AI tools | Dissection D10</t>
  </si>
  <si>
    <t xml:space="preserve">E136</t>
  </si>
  <si>
    <t xml:space="preserve">E137</t>
  </si>
  <si>
    <t xml:space="preserve">034</t>
  </si>
  <si>
    <t xml:space="preserve">Clipdrop</t>
  </si>
  <si>
    <t xml:space="preserve">Relight a photo after it was taken.</t>
  </si>
  <si>
    <t xml:space="preserve">Relight a portrait from left window light</t>
  </si>
  <si>
    <t xml:space="preserve">Free tools with limits</t>
  </si>
  <si>
    <t xml:space="preserve">Clipdrop: Relight a photo after it was taken | Specimen Nº034</t>
  </si>
  <si>
    <t xml:space="preserve">E138</t>
  </si>
  <si>
    <t xml:space="preserve">079</t>
  </si>
  <si>
    <t xml:space="preserve">DomoAI</t>
  </si>
  <si>
    <t xml:space="preserve">Turn real footage into anime, frame-consistent?</t>
  </si>
  <si>
    <t xml:space="preserve">5 s walking clip to anime style</t>
  </si>
  <si>
    <t xml:space="preserve">Free trial (verify)</t>
  </si>
  <si>
    <t xml:space="preserve">DomoAI: Turn real footage into anime, frame-consistent | Specimen Nº079</t>
  </si>
  <si>
    <t xml:space="preserve">E139</t>
  </si>
  <si>
    <t xml:space="preserve">W10</t>
  </si>
  <si>
    <t xml:space="preserve">Week 10: every specimen we pinned.</t>
  </si>
  <si>
    <t xml:space="preserve">Every AI tool we tested this week | The Drawer W10</t>
  </si>
  <si>
    <t xml:space="preserve">E140</t>
  </si>
  <si>
    <t xml:space="preserve">E141</t>
  </si>
  <si>
    <t xml:space="preserve">080</t>
  </si>
  <si>
    <t xml:space="preserve">Speechify</t>
  </si>
  <si>
    <t xml:space="preserve">Listen to a 20-page PDF on the walk home.</t>
  </si>
  <si>
    <t xml:space="preserve">Import a PDF, test speed 2x clarity</t>
  </si>
  <si>
    <t xml:space="preserve">Speechify: Listen to a 20-page PDF on the walk home | Specimen Nº080</t>
  </si>
  <si>
    <t xml:space="preserve">E142</t>
  </si>
  <si>
    <t xml:space="preserve">069</t>
  </si>
  <si>
    <t xml:space="preserve">Bloop</t>
  </si>
  <si>
    <t xml:space="preserve">Turn any Mac audio into an exportable visual.</t>
  </si>
  <si>
    <t xml:space="preserve">Visualise a royalty-free track; export</t>
  </si>
  <si>
    <t xml:space="preserve">Free (Mac, verify)</t>
  </si>
  <si>
    <t xml:space="preserve">Bloop: Turn any Mac audio into an exportable visual | Specimen Nº069</t>
  </si>
  <si>
    <t xml:space="preserve">E143</t>
  </si>
  <si>
    <t xml:space="preserve">E144</t>
  </si>
  <si>
    <t xml:space="preserve">Revisited: Lovable, harder test.</t>
  </si>
  <si>
    <t xml:space="preserve">Lovable: Revisited: Lovable, harder test | Specimen Nº014</t>
  </si>
  <si>
    <t xml:space="preserve">E145</t>
  </si>
  <si>
    <t xml:space="preserve">P11</t>
  </si>
  <si>
    <t xml:space="preserve">Perplexity vs NotebookLM vs Jenni AI</t>
  </si>
  <si>
    <t xml:space="preserve">Same question, three research tools.</t>
  </si>
  <si>
    <t xml:space="preserve">'How do bees navigate?' Check every source</t>
  </si>
  <si>
    <t xml:space="preserve">Perplexity vs NotebookLM vs Jenni AI: same question, three research tools | Plate P11</t>
  </si>
  <si>
    <t xml:space="preserve">E146</t>
  </si>
  <si>
    <t xml:space="preserve">083</t>
  </si>
  <si>
    <t xml:space="preserve">Castmagic</t>
  </si>
  <si>
    <t xml:space="preserve">One podcast, twenty pieces of content.</t>
  </si>
  <si>
    <t xml:space="preserve">Desk study: outputs and pricing</t>
  </si>
  <si>
    <t xml:space="preserve">Castmagic: One podcast, twenty pieces of content | Specimen Nº083</t>
  </si>
  <si>
    <t xml:space="preserve">E147</t>
  </si>
  <si>
    <t xml:space="preserve">Revisited: Ideogram, harder test.</t>
  </si>
  <si>
    <t xml:space="preserve">Ideogram: Revisited: Ideogram, harder test | Specimen Nº019</t>
  </si>
  <si>
    <t xml:space="preserve">E148</t>
  </si>
  <si>
    <t xml:space="preserve">M11</t>
  </si>
  <si>
    <t xml:space="preserve">A logo: designer or Recraft?</t>
  </si>
  <si>
    <t xml:space="preserve">A logo: designer or Recraft? | Mimicry M11</t>
  </si>
  <si>
    <t xml:space="preserve">E149</t>
  </si>
  <si>
    <t xml:space="preserve">D11</t>
  </si>
  <si>
    <t xml:space="preserve">Gumloop + n8n</t>
  </si>
  <si>
    <t xml:space="preserve">A no-code agent that watches AI launches.</t>
  </si>
  <si>
    <t xml:space="preserve">Daily Product Hunt digest to our inbox</t>
  </si>
  <si>
    <t xml:space="preserve">A no-code agent that watches AI launches with free AI tools | Dissection D11</t>
  </si>
  <si>
    <t xml:space="preserve">#nocode #vibecoding #appdev #workflow #specimindlab</t>
  </si>
  <si>
    <t xml:space="preserve">E150</t>
  </si>
  <si>
    <t xml:space="preserve">E151</t>
  </si>
  <si>
    <t xml:space="preserve">Revisited: HeyGen, harder test.</t>
  </si>
  <si>
    <t xml:space="preserve">HeyGen: Revisited: HeyGen, harder test | Specimen Nº022</t>
  </si>
  <si>
    <t xml:space="preserve">E152</t>
  </si>
  <si>
    <t xml:space="preserve">085</t>
  </si>
  <si>
    <t xml:space="preserve">Scriptly</t>
  </si>
  <si>
    <t xml:space="preserve">A teleprompter that follows your voice.</t>
  </si>
  <si>
    <t xml:space="preserve">Read a 60 s script; does it keep up?</t>
  </si>
  <si>
    <t xml:space="preserve">Free (iOS, verify)</t>
  </si>
  <si>
    <t xml:space="preserve">Scriptly: A teleprompter that follows your voice | Specimen Nº085</t>
  </si>
  <si>
    <t xml:space="preserve">E153</t>
  </si>
  <si>
    <t xml:space="preserve">W11</t>
  </si>
  <si>
    <t xml:space="preserve">Week 11: every specimen we pinned.</t>
  </si>
  <si>
    <t xml:space="preserve">Every AI tool we tested this week | The Drawer W11</t>
  </si>
  <si>
    <t xml:space="preserve">E154</t>
  </si>
  <si>
    <t xml:space="preserve">X06</t>
  </si>
  <si>
    <t xml:space="preserve">Rewind to Limitless to...?</t>
  </si>
  <si>
    <t xml:space="preserve">The memory-app lineage and where it ended up (verify current status)</t>
  </si>
  <si>
    <t xml:space="preserve">Rewind to Limitless to...? | Extinction Watch X06</t>
  </si>
  <si>
    <t xml:space="preserve">E155</t>
  </si>
  <si>
    <t xml:space="preserve">Revisited: Gamma, harder test.</t>
  </si>
  <si>
    <t xml:space="preserve">Gamma: Revisited: Gamma, harder test | Specimen Nº010</t>
  </si>
  <si>
    <t xml:space="preserve">E156</t>
  </si>
  <si>
    <t xml:space="preserve">086</t>
  </si>
  <si>
    <t xml:space="preserve">Floot</t>
  </si>
  <si>
    <t xml:space="preserve">Build an app inside a chat window.</t>
  </si>
  <si>
    <t xml:space="preserve">Shopping list app built in-chat</t>
  </si>
  <si>
    <t xml:space="preserve">Floot: Build an app inside a chat window | Specimen Nº086</t>
  </si>
  <si>
    <t xml:space="preserve">E157</t>
  </si>
  <si>
    <t xml:space="preserve">E158</t>
  </si>
  <si>
    <t xml:space="preserve">087</t>
  </si>
  <si>
    <t xml:space="preserve">Fliki</t>
  </si>
  <si>
    <t xml:space="preserve">Text to a narrated video in minutes.</t>
  </si>
  <si>
    <t xml:space="preserve">Recipe text to a video, count stock-footage mismatches</t>
  </si>
  <si>
    <t xml:space="preserve">Fliki: Text to a narrated video in minutes | Specimen Nº087</t>
  </si>
  <si>
    <t xml:space="preserve">E159</t>
  </si>
  <si>
    <t xml:space="preserve">P12</t>
  </si>
  <si>
    <t xml:space="preserve">Tripo vs Meshy vs Hitem3D</t>
  </si>
  <si>
    <t xml:space="preserve">Same figurine, three print-ready meshes.</t>
  </si>
  <si>
    <t xml:space="preserve">Slice each in a free slicer; count errors</t>
  </si>
  <si>
    <t xml:space="preserve">Tripo vs Meshy vs Hitem3D: same figurine, three print-ready meshes | Plate P12</t>
  </si>
  <si>
    <t xml:space="preserve">E160</t>
  </si>
  <si>
    <t xml:space="preserve">088</t>
  </si>
  <si>
    <t xml:space="preserve">Copy.ai</t>
  </si>
  <si>
    <t xml:space="preserve">Marketing workflows, not just copy.</t>
  </si>
  <si>
    <t xml:space="preserve">Desk study: workflow templates</t>
  </si>
  <si>
    <t xml:space="preserve">Free tier limited (Field sketch)</t>
  </si>
  <si>
    <t xml:space="preserve">Copy.ai: Marketing workflows, not just copy | Specimen Nº088</t>
  </si>
  <si>
    <t xml:space="preserve">E161</t>
  </si>
  <si>
    <t xml:space="preserve">089</t>
  </si>
  <si>
    <t xml:space="preserve">Taskade</t>
  </si>
  <si>
    <t xml:space="preserve">A project plan that writes itself.</t>
  </si>
  <si>
    <t xml:space="preserve">Wedding plan from one line; check deadlines</t>
  </si>
  <si>
    <t xml:space="preserve">Taskade: A project plan that writes itself | Specimen Nº089</t>
  </si>
  <si>
    <t xml:space="preserve">E162</t>
  </si>
  <si>
    <t xml:space="preserve">M12</t>
  </si>
  <si>
    <t xml:space="preserve">A printed toy: real or Hitem3D render?</t>
  </si>
  <si>
    <t xml:space="preserve">A printed toy: real or Hitem3D render? | Mimicry M12</t>
  </si>
  <si>
    <t xml:space="preserve">E163</t>
  </si>
  <si>
    <t xml:space="preserve">D12</t>
  </si>
  <si>
    <t xml:space="preserve">Granola + Notion AI</t>
  </si>
  <si>
    <t xml:space="preserve">Meeting to notes to tasks.</t>
  </si>
  <si>
    <t xml:space="preserve">Mock meeting to an assigned task list</t>
  </si>
  <si>
    <t xml:space="preserve">Meeting to notes to tasks with free AI tools | Dissection D12</t>
  </si>
  <si>
    <t xml:space="preserve">E164</t>
  </si>
  <si>
    <t xml:space="preserve">E165</t>
  </si>
  <si>
    <t xml:space="preserve">081</t>
  </si>
  <si>
    <t xml:space="preserve">Perplexity</t>
  </si>
  <si>
    <t xml:space="preserve">Search that shows its sources. Are they right?</t>
  </si>
  <si>
    <t xml:space="preserve">5 factual questions, check every citation</t>
  </si>
  <si>
    <t xml:space="preserve">Perplexity: Search that shows its sources. Are they right | Specimen Nº081</t>
  </si>
  <si>
    <t xml:space="preserve">E166</t>
  </si>
  <si>
    <t xml:space="preserve">090</t>
  </si>
  <si>
    <t xml:space="preserve">Sider Code</t>
  </si>
  <si>
    <t xml:space="preserve">Reshape any website with plain words.</t>
  </si>
  <si>
    <t xml:space="preserve">Restyle a news site into dark mode by asking</t>
  </si>
  <si>
    <t xml:space="preserve">Sider Code: Reshape any website with plain words | Specimen Nº090</t>
  </si>
  <si>
    <t xml:space="preserve">E167</t>
  </si>
  <si>
    <t xml:space="preserve">W12</t>
  </si>
  <si>
    <t xml:space="preserve">Week 12: every specimen we pinned.</t>
  </si>
  <si>
    <t xml:space="preserve">Every AI tool we tested this week | The Drawer W12</t>
  </si>
  <si>
    <t xml:space="preserve">E168</t>
  </si>
  <si>
    <t xml:space="preserve">E169</t>
  </si>
  <si>
    <t xml:space="preserve">091</t>
  </si>
  <si>
    <t xml:space="preserve">Vidu</t>
  </si>
  <si>
    <t xml:space="preserve">Same character in three different clips?</t>
  </si>
  <si>
    <t xml:space="preserve">Reference image consistency across 3 clips</t>
  </si>
  <si>
    <t xml:space="preserve">Vidu: Same character in three different clips | Specimen Nº091</t>
  </si>
  <si>
    <t xml:space="preserve">E170</t>
  </si>
  <si>
    <t xml:space="preserve">092</t>
  </si>
  <si>
    <t xml:space="preserve">Fewer</t>
  </si>
  <si>
    <t xml:space="preserve">An Android launcher that counts every phone pickup.</t>
  </si>
  <si>
    <t xml:space="preserve">One day of counts; what changed</t>
  </si>
  <si>
    <t xml:space="preserve">Fewer: An Android launcher that counts every phone pickup | Specimen Nº092</t>
  </si>
  <si>
    <t xml:space="preserve">E171</t>
  </si>
  <si>
    <t xml:space="preserve">E172</t>
  </si>
  <si>
    <t xml:space="preserve">Revisited: Meshy, harder test.</t>
  </si>
  <si>
    <t xml:space="preserve">Meshy: Revisited: Meshy, harder test | Specimen Nº005</t>
  </si>
  <si>
    <t xml:space="preserve">E173</t>
  </si>
  <si>
    <t xml:space="preserve">P13</t>
  </si>
  <si>
    <t xml:space="preserve">Hedra vs HeyGen vs Kling 3.0</t>
  </si>
  <si>
    <t xml:space="preserve">Same portrait, three talking heads.</t>
  </si>
  <si>
    <t xml:space="preserve">Public-domain portrait says one line</t>
  </si>
  <si>
    <t xml:space="preserve">Hedra vs HeyGen vs Kling 3.0: same portrait, three talking heads | Plate P13</t>
  </si>
  <si>
    <t xml:space="preserve">#aiavatar #videomarketing #captions #aicomparison #specimindlab</t>
  </si>
  <si>
    <t xml:space="preserve">E174</t>
  </si>
  <si>
    <t xml:space="preserve">094</t>
  </si>
  <si>
    <t xml:space="preserve">Writesonic</t>
  </si>
  <si>
    <t xml:space="preserve">An SEO writer that checks AI search too.</t>
  </si>
  <si>
    <t xml:space="preserve">Desk study: features and limits</t>
  </si>
  <si>
    <t xml:space="preserve">Limited free (Field sketch)</t>
  </si>
  <si>
    <t xml:space="preserve">Writesonic: An SEO writer that checks AI search too | Specimen Nº094</t>
  </si>
  <si>
    <t xml:space="preserve">E175</t>
  </si>
  <si>
    <t xml:space="preserve">Revisited: Tripo, harder test.</t>
  </si>
  <si>
    <t xml:space="preserve">Tripo: Revisited: Tripo, harder test | Specimen Nº001</t>
  </si>
  <si>
    <t xml:space="preserve">E176</t>
  </si>
  <si>
    <t xml:space="preserve">M13</t>
  </si>
  <si>
    <t xml:space="preserve">A pencil sketch: human or Krea?</t>
  </si>
  <si>
    <t xml:space="preserve">A pencil sketch: human or Krea? | Mimicry M13</t>
  </si>
  <si>
    <t xml:space="preserve">E177</t>
  </si>
  <si>
    <t xml:space="preserve">D13</t>
  </si>
  <si>
    <t xml:space="preserve">Claude Code</t>
  </si>
  <si>
    <t xml:space="preserve">How this channel's catalog was built.</t>
  </si>
  <si>
    <t xml:space="preserve">Behind the scenes: the free GitHub Pages hub</t>
  </si>
  <si>
    <t xml:space="preserve">How this channel's catalog was built with free AI tools | Dissection D13</t>
  </si>
  <si>
    <t xml:space="preserve">E178</t>
  </si>
  <si>
    <t xml:space="preserve">E179</t>
  </si>
  <si>
    <t xml:space="preserve">E180</t>
  </si>
  <si>
    <t xml:space="preserve">095</t>
  </si>
  <si>
    <t xml:space="preserve">Paste 7</t>
  </si>
  <si>
    <t xml:space="preserve">A clipboard that guesses what you'll paste.</t>
  </si>
  <si>
    <t xml:space="preserve">One hour of normal work; count useful suggestions</t>
  </si>
  <si>
    <t xml:space="preserve">Paste 7: A clipboard that guesses what you'll paste | Specimen Nº095</t>
  </si>
  <si>
    <t xml:space="preserve">SPECIMIND - 90-day calendar settings</t>
  </si>
  <si>
    <t xml:space="preserve">Start date (Day 1, a Monday)</t>
  </si>
  <si>
    <t xml:space="preserve">Edit this cell. Every date in the Calendar recalculates. The weekly series pattern assumes Day 1 is a Monday.</t>
  </si>
  <si>
    <t xml:space="preserve">Slot A post time (IST)</t>
  </si>
  <si>
    <t xml:space="preserve">06:30</t>
  </si>
  <si>
    <t xml:space="preserve">Equals 9:00 pm ET the previous evening (US prime time)</t>
  </si>
  <si>
    <t xml:space="preserve">Slot B post time (IST)</t>
  </si>
  <si>
    <t xml:space="preserve">18:30</t>
  </si>
  <si>
    <t xml:space="preserve">Equals 9:00 am ET (US morning), 1:00 pm UK</t>
  </si>
  <si>
    <t xml:space="preserve">Last day (formula)</t>
  </si>
  <si>
    <t xml:space="preserve">Legend</t>
  </si>
  <si>
    <t xml:space="preserve">Yellow cell, blue text</t>
  </si>
  <si>
    <t xml:space="preserve">An input you can change</t>
  </si>
  <si>
    <t xml:space="preserve">Code column</t>
  </si>
  <si>
    <t xml:space="preserve">What viewers comment / type: 001 = catalog number, P = Plate, D = Dissection, M = Mimicry, W = Drawer, X = Extinction</t>
  </si>
  <si>
    <t xml:space="preserve">Draft hook</t>
  </si>
  <si>
    <t xml:space="preserve">A starting line only. Rewrite it after the real test so it states what actually happened.</t>
  </si>
  <si>
    <t xml:space="preserve">'Confirmed program' = a public program found in research (apply; approval not guaranteed). 'Check' = look for one before the episode. Free-tier notes marked 'verify' must be re-checked the week of filming.</t>
  </si>
  <si>
    <t xml:space="preserve">Label</t>
  </si>
  <si>
    <t xml:space="preserve">Shown on the pinned label for the whole video. Use 'Affiliate' only once you are approved and the link in the hub is yours.</t>
  </si>
  <si>
    <t xml:space="preserve">Planned &gt; Researched &gt; Captured &gt; Rendered &gt; Posted</t>
  </si>
  <si>
    <t xml:space="preserve">Nº</t>
  </si>
  <si>
    <t xml:space="preserve">Tool</t>
  </si>
  <si>
    <t xml:space="preserve">First episode</t>
  </si>
  <si>
    <t xml:space="preserve">First date</t>
  </si>
  <si>
    <t xml:space="preserve">Free path (re-verify before filming)</t>
  </si>
  <si>
    <t xml:space="preserve">Source / note</t>
  </si>
  <si>
    <t xml:space="preserve">https://www.tripo3d.ai/affiliate</t>
  </si>
  <si>
    <t xml:space="preserve">Free-tier note from 2026 comparison articles; verify</t>
  </si>
  <si>
    <t xml:space="preserve">https://zplatform.ai/best-ai-tools/best-ai-affiliate-programs/</t>
  </si>
  <si>
    <t xml:space="preserve">Verify on the tool's pricing page</t>
  </si>
  <si>
    <t xml:space="preserve">https://affiliatejob.org/blog/highest-paying-ai-tool-affiliate-programs-2026</t>
  </si>
  <si>
    <t xml:space="preserve">https://www.layer3labs.io/guides/best-ai-affiliate-programs</t>
  </si>
  <si>
    <t xml:space="preserve">082</t>
  </si>
  <si>
    <t xml:space="preserve">Jenni AI</t>
  </si>
  <si>
    <t xml:space="preserve">084</t>
  </si>
  <si>
    <t xml:space="preserve">Gumloop</t>
  </si>
  <si>
    <t xml:space="preserve">093</t>
  </si>
  <si>
    <t xml:space="preserve">Hedra</t>
  </si>
  <si>
    <t xml:space="preserve">Purpose</t>
  </si>
  <si>
    <t xml:space="preserve">Signature opening</t>
  </si>
  <si>
    <t xml:space="preserve">Episodes in 90 days</t>
  </si>
  <si>
    <t xml:space="preserve">FS</t>
  </si>
  <si>
    <t xml:space="preserve">Flagship. One tool, one real test, conditions card, flaw, verdict.</t>
  </si>
  <si>
    <t xml:space="preserve">Cold open on output; full anatomy</t>
  </si>
  <si>
    <t xml:space="preserve">FR</t>
  </si>
  <si>
    <t xml:space="preserve">What the free tier actually gets you, in numbers. No card needed.</t>
  </si>
  <si>
    <t xml:space="preserve">Opens on a counter: credits used / credits left</t>
  </si>
  <si>
    <t xml:space="preserve">RS</t>
  </si>
  <si>
    <t xml:space="preserve">A tool most people haven't heard of yet. Speed beats polish.</t>
  </si>
  <si>
    <t xml:space="preserve">Live or Field sketch</t>
  </si>
  <si>
    <t xml:space="preserve">Opens on the RARE SIGHTING stamp and launch date</t>
  </si>
  <si>
    <t xml:space="preserve">PL</t>
  </si>
  <si>
    <t xml:space="preserve">Same input, three tools, side-by-side triptych. Highest search intent.</t>
  </si>
  <si>
    <t xml:space="preserve">Three columns, one shared input card, ranked at the end</t>
  </si>
  <si>
    <t xml:space="preserve">SK</t>
  </si>
  <si>
    <t xml:space="preserve">Desk study of a paid tool. Labelled 'not hands-on'. Verdict is 'Watch'.</t>
  </si>
  <si>
    <t xml:space="preserve">Pencil-line diagrams redrawn from public info; price math</t>
  </si>
  <si>
    <t xml:space="preserve">MI</t>
  </si>
  <si>
    <t xml:space="preserve">AI or real? Viewers comment A or B; reveal at the end.</t>
  </si>
  <si>
    <t xml:space="preserve">Split screen A/B; answer revealed after a 3 s countdown</t>
  </si>
  <si>
    <t xml:space="preserve">DS</t>
  </si>
  <si>
    <t xml:space="preserve">A workflow chaining 2-3 tools to make one finished thing.</t>
  </si>
  <si>
    <t xml:space="preserve">Numbered stages laid out like a dissection tray</t>
  </si>
  <si>
    <t xml:space="preserve">DR</t>
  </si>
  <si>
    <t xml:space="preserve">Sunday recap: every specimen pinned this week, in 30 s.</t>
  </si>
  <si>
    <t xml:space="preserve">Drawer opens; each label lights up with its verdict</t>
  </si>
  <si>
    <t xml:space="preserve">EX</t>
  </si>
  <si>
    <t xml:space="preserve">A tool or model that died or changed, and what replaced it.</t>
  </si>
  <si>
    <t xml:space="preserve">Ink-black label; crossed-out specimen; successors pinned</t>
  </si>
  <si>
    <t xml:space="preserve">Total</t>
  </si>
  <si>
    <t xml:space="preserve">Week</t>
  </si>
  <si>
    <t xml:space="preserve">Week starts</t>
  </si>
  <si>
    <t xml:space="preserve">Views (all platforms)</t>
  </si>
  <si>
    <t xml:space="preserve">Engaged views (YT)</t>
  </si>
  <si>
    <t xml:space="preserve">Avg % viewed (YT)</t>
  </si>
  <si>
    <t xml:space="preserve">Comments with a code (IG)</t>
  </si>
  <si>
    <t xml:space="preserve">Hub visits</t>
  </si>
  <si>
    <t xml:space="preserve">Affiliate clicks</t>
  </si>
  <si>
    <t xml:space="preserve">Sign-ups</t>
  </si>
  <si>
    <t xml:space="preserve">Paid conversions</t>
  </si>
  <si>
    <t xml:space="preserve">Commission earned ($)</t>
  </si>
  <si>
    <t xml:space="preserve">Hub visits per 1k views</t>
  </si>
  <si>
    <t xml:space="preserve">Click-through from hub</t>
  </si>
  <si>
    <t xml:space="preserve">Sign-up rate</t>
  </si>
  <si>
    <t xml:space="preserve">Paid rate</t>
  </si>
  <si>
    <t xml:space="preserve">Top episode</t>
  </si>
  <si>
    <t xml:space="preserve">Decision for next week</t>
  </si>
  <si>
    <t xml:space="preserve">Fill one row every Sunday from YouTube Studio, Instagram Insights, X Analytics and each affiliate dashboard. Targets for weeks 1-4: avg % viewed &gt; 80%, hub visits &gt; 2 per 1k views.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</si>
</sst>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\ yyyy"/>
    <numFmt numFmtId="166" formatCode="ddd\ d\ mmm\ yyyy"/>
    <numFmt numFmtId="167" formatCode="d\ mmm"/>
    <numFmt numFmtId="168" formatCode="0%"/>
    <numFmt numFmtId="169" formatCode="\$#,##0.00"/>
    <numFmt numFmtId="170" formatCode="0.0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2F3E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4122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1612"/>
        <bgColor rgb="FF000000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9BE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161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3EC"/>
          <bgColor rgb="FF000000"/>
        </patternFill>
      </fill>
    </dxf>
    <dxf>
      <fill>
        <patternFill patternType="solid">
          <fgColor rgb="FFC4122F"/>
          <bgColor rgb="FF000000"/>
        </patternFill>
      </fill>
    </dxf>
  </dxfs>
  <colors>
    <indexedColors>
      <rgbColor rgb="FF000000"/>
      <rgbColor rgb="FFF2F3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612"/>
      <rgbColor rgb="FF333300"/>
      <rgbColor rgb="FFC412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ripo3d.ai/affiliate" TargetMode="External"/><Relationship Id="rId2" Type="http://schemas.openxmlformats.org/officeDocument/2006/relationships/hyperlink" Target="https://zplatform.ai/best-ai-tools/best-ai-affiliate-programs/" TargetMode="External"/><Relationship Id="rId3" Type="http://schemas.openxmlformats.org/officeDocument/2006/relationships/hyperlink" Target="https://zplatform.ai/best-ai-tools/best-ai-affiliate-programs/" TargetMode="External"/><Relationship Id="rId4" Type="http://schemas.openxmlformats.org/officeDocument/2006/relationships/hyperlink" Target="https://zplatform.ai/best-ai-tools/best-ai-affiliate-programs/" TargetMode="External"/><Relationship Id="rId5" Type="http://schemas.openxmlformats.org/officeDocument/2006/relationships/hyperlink" Target="https://affiliatejob.org/blog/highest-paying-ai-tool-affiliate-programs-2026" TargetMode="External"/><Relationship Id="rId6" Type="http://schemas.openxmlformats.org/officeDocument/2006/relationships/hyperlink" Target="https://affiliatejob.org/blog/highest-paying-ai-tool-affiliate-programs-2026" TargetMode="External"/><Relationship Id="rId7" Type="http://schemas.openxmlformats.org/officeDocument/2006/relationships/hyperlink" Target="https://www.layer3labs.io/guides/best-ai-affiliate-programs" TargetMode="External"/><Relationship Id="rId8" Type="http://schemas.openxmlformats.org/officeDocument/2006/relationships/hyperlink" Target="https://www.layer3labs.io/guides/best-ai-affiliate-programs" TargetMode="External"/><Relationship Id="rId9" Type="http://schemas.openxmlformats.org/officeDocument/2006/relationships/hyperlink" Target="https://affiliatejob.org/blog/highest-paying-ai-tool-affiliate-programs-2026" TargetMode="External"/><Relationship Id="rId10" Type="http://schemas.openxmlformats.org/officeDocument/2006/relationships/hyperlink" Target="https://www.layer3labs.io/guides/best-ai-affiliate-programs" TargetMode="External"/><Relationship Id="rId11" Type="http://schemas.openxmlformats.org/officeDocument/2006/relationships/hyperlink" Target="https://affiliatejob.org/blog/highest-paying-ai-tool-affiliate-programs-2026" TargetMode="External"/><Relationship Id="rId12" Type="http://schemas.openxmlformats.org/officeDocument/2006/relationships/hyperlink" Target="https://www.layer3labs.io/guides/best-ai-affiliate-programs" TargetMode="External"/><Relationship Id="rId13" Type="http://schemas.openxmlformats.org/officeDocument/2006/relationships/hyperlink" Target="https://affiliatejob.org/blog/highest-paying-ai-tool-affiliate-programs-2026" TargetMode="External"/><Relationship Id="rId14" Type="http://schemas.openxmlformats.org/officeDocument/2006/relationships/hyperlink" Target="https://www.layer3labs.io/guides/best-ai-affiliate-program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5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26"/>
    <col collapsed="false" customWidth="true" hidden="false" outlineLevel="0" max="12" min="12" style="0" width="9"/>
    <col collapsed="false" customWidth="true" hidden="false" outlineLevel="0" max="13" min="13" style="0" width="40"/>
    <col collapsed="false" customWidth="true" hidden="false" outlineLevel="0" max="14" min="14" style="0" width="44"/>
    <col collapsed="false" customWidth="true" hidden="false" outlineLevel="0" max="15" min="15" style="0" width="32"/>
    <col collapsed="false" customWidth="true" hidden="false" outlineLevel="0" max="17" min="16" style="0" width="18"/>
    <col collapsed="false" customWidth="true" hidden="false" outlineLevel="0" max="18" min="18" style="0" width="50"/>
    <col collapsed="false" customWidth="true" hidden="false" outlineLevel="0" max="19" min="19" style="0" width="36"/>
    <col collapsed="false" customWidth="true" hidden="false" outlineLevel="0" max="20" min="20" style="0" width="11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3.85" hidden="false" customHeight="false" outlineLevel="0" collapsed="false">
      <c r="A2" s="2" t="n">
        <v>1</v>
      </c>
      <c r="B2" s="3" t="n">
        <f aca="false">Settings!$B$3+A2-1</f>
        <v>46314</v>
      </c>
      <c r="C2" s="2" t="str">
        <f aca="false">TEXT(B2,"ddd")</f>
        <v>Mon</v>
      </c>
      <c r="D2" s="2" t="s">
        <v>20</v>
      </c>
      <c r="E2" s="2" t="str">
        <f aca="false">Settings!$B$4</f>
        <v>06:30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4" t="s">
        <v>31</v>
      </c>
      <c r="Q2" s="2" t="s">
        <v>32</v>
      </c>
      <c r="R2" s="2" t="s">
        <v>33</v>
      </c>
      <c r="S2" s="2" t="s">
        <v>34</v>
      </c>
      <c r="T2" s="2" t="s">
        <v>35</v>
      </c>
    </row>
    <row r="3" customFormat="false" ht="23.85" hidden="false" customHeight="false" outlineLevel="0" collapsed="false">
      <c r="A3" s="2" t="n">
        <v>1</v>
      </c>
      <c r="B3" s="3" t="n">
        <f aca="false">Settings!$B$3+A3-1</f>
        <v>46314</v>
      </c>
      <c r="C3" s="2" t="str">
        <f aca="false">TEXT(B3,"ddd")</f>
        <v>Mon</v>
      </c>
      <c r="D3" s="2" t="s">
        <v>36</v>
      </c>
      <c r="E3" s="2" t="str">
        <f aca="false">Settings!$B$5</f>
        <v>18:30</v>
      </c>
      <c r="F3" s="2" t="s">
        <v>37</v>
      </c>
      <c r="G3" s="2" t="s">
        <v>22</v>
      </c>
      <c r="H3" s="2" t="s">
        <v>38</v>
      </c>
      <c r="I3" s="2" t="s">
        <v>24</v>
      </c>
      <c r="J3" s="2" t="s">
        <v>39</v>
      </c>
      <c r="K3" s="2" t="s">
        <v>40</v>
      </c>
      <c r="L3" s="2" t="s">
        <v>27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34</v>
      </c>
      <c r="T3" s="2" t="s">
        <v>35</v>
      </c>
    </row>
    <row r="4" customFormat="false" ht="23.85" hidden="false" customHeight="false" outlineLevel="0" collapsed="false">
      <c r="A4" s="2" t="n">
        <v>2</v>
      </c>
      <c r="B4" s="3" t="n">
        <f aca="false">Settings!$B$3+A4-1</f>
        <v>46315</v>
      </c>
      <c r="C4" s="2" t="str">
        <f aca="false">TEXT(B4,"ddd")</f>
        <v>Tue</v>
      </c>
      <c r="D4" s="2" t="s">
        <v>20</v>
      </c>
      <c r="E4" s="2" t="str">
        <f aca="false">Settings!$B$4</f>
        <v>06:30</v>
      </c>
      <c r="F4" s="2" t="s">
        <v>47</v>
      </c>
      <c r="G4" s="2" t="s">
        <v>22</v>
      </c>
      <c r="H4" s="2" t="s">
        <v>48</v>
      </c>
      <c r="I4" s="2" t="s">
        <v>24</v>
      </c>
      <c r="J4" s="2" t="s">
        <v>49</v>
      </c>
      <c r="K4" s="2" t="s">
        <v>50</v>
      </c>
      <c r="L4" s="2" t="s">
        <v>27</v>
      </c>
      <c r="M4" s="2" t="s">
        <v>51</v>
      </c>
      <c r="N4" s="2" t="s">
        <v>52</v>
      </c>
      <c r="O4" s="2" t="s">
        <v>53</v>
      </c>
      <c r="P4" s="2" t="s">
        <v>44</v>
      </c>
      <c r="Q4" s="2" t="s">
        <v>45</v>
      </c>
      <c r="R4" s="2" t="s">
        <v>54</v>
      </c>
      <c r="S4" s="2" t="s">
        <v>34</v>
      </c>
      <c r="T4" s="2" t="s">
        <v>35</v>
      </c>
    </row>
    <row r="5" customFormat="false" ht="23.85" hidden="false" customHeight="false" outlineLevel="0" collapsed="false">
      <c r="A5" s="2" t="n">
        <v>2</v>
      </c>
      <c r="B5" s="3" t="n">
        <f aca="false">Settings!$B$3+A5-1</f>
        <v>46315</v>
      </c>
      <c r="C5" s="2" t="str">
        <f aca="false">TEXT(B5,"ddd")</f>
        <v>Tue</v>
      </c>
      <c r="D5" s="2" t="s">
        <v>36</v>
      </c>
      <c r="E5" s="2" t="str">
        <f aca="false">Settings!$B$5</f>
        <v>18:30</v>
      </c>
      <c r="F5" s="2" t="s">
        <v>55</v>
      </c>
      <c r="G5" s="2" t="s">
        <v>22</v>
      </c>
      <c r="H5" s="2" t="s">
        <v>23</v>
      </c>
      <c r="I5" s="2" t="s">
        <v>24</v>
      </c>
      <c r="J5" s="2" t="s">
        <v>56</v>
      </c>
      <c r="K5" s="2" t="s">
        <v>57</v>
      </c>
      <c r="L5" s="2" t="s">
        <v>58</v>
      </c>
      <c r="M5" s="2" t="s">
        <v>59</v>
      </c>
      <c r="N5" s="2" t="s">
        <v>60</v>
      </c>
      <c r="O5" s="2" t="s">
        <v>61</v>
      </c>
      <c r="P5" s="2" t="s">
        <v>62</v>
      </c>
      <c r="Q5" s="2" t="s">
        <v>63</v>
      </c>
      <c r="R5" s="2" t="s">
        <v>64</v>
      </c>
      <c r="S5" s="2" t="s">
        <v>65</v>
      </c>
      <c r="T5" s="2" t="s">
        <v>35</v>
      </c>
    </row>
    <row r="6" customFormat="false" ht="46.25" hidden="false" customHeight="false" outlineLevel="0" collapsed="false">
      <c r="A6" s="2" t="n">
        <v>3</v>
      </c>
      <c r="B6" s="3" t="n">
        <f aca="false">Settings!$B$3+A6-1</f>
        <v>46316</v>
      </c>
      <c r="C6" s="2" t="str">
        <f aca="false">TEXT(B6,"ddd")</f>
        <v>Wed</v>
      </c>
      <c r="D6" s="2" t="s">
        <v>20</v>
      </c>
      <c r="E6" s="2" t="str">
        <f aca="false">Settings!$B$4</f>
        <v>06:30</v>
      </c>
      <c r="F6" s="2" t="s">
        <v>66</v>
      </c>
      <c r="G6" s="2" t="s">
        <v>22</v>
      </c>
      <c r="H6" s="2" t="s">
        <v>67</v>
      </c>
      <c r="I6" s="2" t="s">
        <v>24</v>
      </c>
      <c r="J6" s="2" t="s">
        <v>68</v>
      </c>
      <c r="K6" s="2" t="s">
        <v>69</v>
      </c>
      <c r="L6" s="2" t="s">
        <v>27</v>
      </c>
      <c r="M6" s="2" t="s">
        <v>70</v>
      </c>
      <c r="N6" s="2" t="s">
        <v>71</v>
      </c>
      <c r="O6" s="2" t="s">
        <v>72</v>
      </c>
      <c r="P6" s="2" t="s">
        <v>73</v>
      </c>
      <c r="Q6" s="2" t="s">
        <v>74</v>
      </c>
      <c r="R6" s="2" t="s">
        <v>75</v>
      </c>
      <c r="S6" s="2" t="s">
        <v>76</v>
      </c>
      <c r="T6" s="2" t="s">
        <v>35</v>
      </c>
    </row>
    <row r="7" customFormat="false" ht="23.85" hidden="false" customHeight="false" outlineLevel="0" collapsed="false">
      <c r="A7" s="2" t="n">
        <v>3</v>
      </c>
      <c r="B7" s="3" t="n">
        <f aca="false">Settings!$B$3+A7-1</f>
        <v>46316</v>
      </c>
      <c r="C7" s="2" t="str">
        <f aca="false">TEXT(B7,"ddd")</f>
        <v>Wed</v>
      </c>
      <c r="D7" s="2" t="s">
        <v>36</v>
      </c>
      <c r="E7" s="2" t="str">
        <f aca="false">Settings!$B$5</f>
        <v>18:30</v>
      </c>
      <c r="F7" s="2" t="s">
        <v>77</v>
      </c>
      <c r="G7" s="2" t="s">
        <v>22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83</v>
      </c>
      <c r="N7" s="2" t="s">
        <v>84</v>
      </c>
      <c r="O7" s="2" t="s">
        <v>85</v>
      </c>
      <c r="P7" s="2" t="s">
        <v>62</v>
      </c>
      <c r="Q7" s="2" t="s">
        <v>63</v>
      </c>
      <c r="R7" s="2" t="s">
        <v>86</v>
      </c>
      <c r="S7" s="2" t="s">
        <v>87</v>
      </c>
      <c r="T7" s="2" t="s">
        <v>35</v>
      </c>
    </row>
    <row r="8" customFormat="false" ht="23.85" hidden="false" customHeight="false" outlineLevel="0" collapsed="false">
      <c r="A8" s="2" t="n">
        <v>4</v>
      </c>
      <c r="B8" s="3" t="n">
        <f aca="false">Settings!$B$3+A8-1</f>
        <v>46317</v>
      </c>
      <c r="C8" s="2" t="str">
        <f aca="false">TEXT(B8,"ddd")</f>
        <v>Thu</v>
      </c>
      <c r="D8" s="2" t="s">
        <v>20</v>
      </c>
      <c r="E8" s="2" t="str">
        <f aca="false">Settings!$B$4</f>
        <v>06:30</v>
      </c>
      <c r="F8" s="2" t="s">
        <v>88</v>
      </c>
      <c r="G8" s="2" t="s">
        <v>22</v>
      </c>
      <c r="H8" s="2" t="s">
        <v>23</v>
      </c>
      <c r="I8" s="2" t="s">
        <v>24</v>
      </c>
      <c r="J8" s="2" t="s">
        <v>89</v>
      </c>
      <c r="K8" s="2" t="s">
        <v>90</v>
      </c>
      <c r="L8" s="2" t="s">
        <v>91</v>
      </c>
      <c r="M8" s="2" t="s">
        <v>92</v>
      </c>
      <c r="N8" s="2" t="s">
        <v>93</v>
      </c>
      <c r="O8" s="2" t="s">
        <v>94</v>
      </c>
      <c r="P8" s="4" t="s">
        <v>31</v>
      </c>
      <c r="Q8" s="2" t="s">
        <v>32</v>
      </c>
      <c r="R8" s="2" t="s">
        <v>95</v>
      </c>
      <c r="S8" s="2" t="s">
        <v>96</v>
      </c>
      <c r="T8" s="2" t="s">
        <v>35</v>
      </c>
    </row>
    <row r="9" customFormat="false" ht="23.85" hidden="false" customHeight="false" outlineLevel="0" collapsed="false">
      <c r="A9" s="2" t="n">
        <v>4</v>
      </c>
      <c r="B9" s="3" t="n">
        <f aca="false">Settings!$B$3+A9-1</f>
        <v>46317</v>
      </c>
      <c r="C9" s="2" t="str">
        <f aca="false">TEXT(B9,"ddd")</f>
        <v>Thu</v>
      </c>
      <c r="D9" s="2" t="s">
        <v>36</v>
      </c>
      <c r="E9" s="2" t="str">
        <f aca="false">Settings!$B$5</f>
        <v>18:30</v>
      </c>
      <c r="F9" s="2" t="s">
        <v>97</v>
      </c>
      <c r="G9" s="2" t="s">
        <v>22</v>
      </c>
      <c r="H9" s="2" t="s">
        <v>98</v>
      </c>
      <c r="I9" s="2" t="s">
        <v>24</v>
      </c>
      <c r="J9" s="2" t="s">
        <v>99</v>
      </c>
      <c r="K9" s="2" t="s">
        <v>100</v>
      </c>
      <c r="L9" s="2" t="s">
        <v>82</v>
      </c>
      <c r="M9" s="2" t="s">
        <v>101</v>
      </c>
      <c r="N9" s="2" t="s">
        <v>102</v>
      </c>
      <c r="O9" s="2" t="s">
        <v>103</v>
      </c>
      <c r="P9" s="2" t="s">
        <v>62</v>
      </c>
      <c r="Q9" s="2" t="s">
        <v>104</v>
      </c>
      <c r="R9" s="2" t="s">
        <v>105</v>
      </c>
      <c r="S9" s="2" t="s">
        <v>106</v>
      </c>
      <c r="T9" s="2" t="s">
        <v>35</v>
      </c>
    </row>
    <row r="10" customFormat="false" ht="23.85" hidden="false" customHeight="false" outlineLevel="0" collapsed="false">
      <c r="A10" s="2" t="n">
        <v>5</v>
      </c>
      <c r="B10" s="3" t="n">
        <f aca="false">Settings!$B$3+A10-1</f>
        <v>46318</v>
      </c>
      <c r="C10" s="2" t="str">
        <f aca="false">TEXT(B10,"ddd")</f>
        <v>Fri</v>
      </c>
      <c r="D10" s="2" t="s">
        <v>20</v>
      </c>
      <c r="E10" s="2" t="str">
        <f aca="false">Settings!$B$4</f>
        <v>06:30</v>
      </c>
      <c r="F10" s="2" t="s">
        <v>107</v>
      </c>
      <c r="G10" s="2" t="s">
        <v>22</v>
      </c>
      <c r="H10" s="2" t="s">
        <v>108</v>
      </c>
      <c r="I10" s="2" t="s">
        <v>24</v>
      </c>
      <c r="J10" s="2" t="s">
        <v>109</v>
      </c>
      <c r="K10" s="2" t="s">
        <v>26</v>
      </c>
      <c r="L10" s="2" t="s">
        <v>27</v>
      </c>
      <c r="M10" s="2" t="s">
        <v>110</v>
      </c>
      <c r="N10" s="2" t="s">
        <v>111</v>
      </c>
      <c r="O10" s="2" t="s">
        <v>112</v>
      </c>
      <c r="P10" s="2" t="s">
        <v>113</v>
      </c>
      <c r="Q10" s="2" t="s">
        <v>74</v>
      </c>
      <c r="R10" s="2" t="s">
        <v>114</v>
      </c>
      <c r="S10" s="2" t="s">
        <v>115</v>
      </c>
      <c r="T10" s="2" t="s">
        <v>35</v>
      </c>
    </row>
    <row r="11" customFormat="false" ht="23.85" hidden="false" customHeight="false" outlineLevel="0" collapsed="false">
      <c r="A11" s="2" t="n">
        <v>5</v>
      </c>
      <c r="B11" s="3" t="n">
        <f aca="false">Settings!$B$3+A11-1</f>
        <v>46318</v>
      </c>
      <c r="C11" s="2" t="str">
        <f aca="false">TEXT(B11,"ddd")</f>
        <v>Fri</v>
      </c>
      <c r="D11" s="2" t="s">
        <v>36</v>
      </c>
      <c r="E11" s="2" t="str">
        <f aca="false">Settings!$B$5</f>
        <v>18:30</v>
      </c>
      <c r="F11" s="2" t="s">
        <v>116</v>
      </c>
      <c r="G11" s="2" t="s">
        <v>22</v>
      </c>
      <c r="H11" s="2" t="s">
        <v>48</v>
      </c>
      <c r="I11" s="2" t="s">
        <v>24</v>
      </c>
      <c r="J11" s="2" t="s">
        <v>117</v>
      </c>
      <c r="K11" s="2" t="s">
        <v>118</v>
      </c>
      <c r="L11" s="2" t="s">
        <v>27</v>
      </c>
      <c r="M11" s="2" t="s">
        <v>119</v>
      </c>
      <c r="N11" s="2" t="s">
        <v>120</v>
      </c>
      <c r="O11" s="2" t="s">
        <v>121</v>
      </c>
      <c r="P11" s="2" t="s">
        <v>62</v>
      </c>
      <c r="Q11" s="2" t="s">
        <v>63</v>
      </c>
      <c r="R11" s="2" t="s">
        <v>122</v>
      </c>
      <c r="S11" s="2" t="s">
        <v>34</v>
      </c>
      <c r="T11" s="2" t="s">
        <v>35</v>
      </c>
    </row>
    <row r="12" customFormat="false" ht="23.85" hidden="false" customHeight="false" outlineLevel="0" collapsed="false">
      <c r="A12" s="2" t="n">
        <v>6</v>
      </c>
      <c r="B12" s="3" t="n">
        <f aca="false">Settings!$B$3+A12-1</f>
        <v>46319</v>
      </c>
      <c r="C12" s="2" t="str">
        <f aca="false">TEXT(B12,"ddd")</f>
        <v>Sat</v>
      </c>
      <c r="D12" s="2" t="s">
        <v>20</v>
      </c>
      <c r="E12" s="2" t="str">
        <f aca="false">Settings!$B$4</f>
        <v>06:30</v>
      </c>
      <c r="F12" s="2" t="s">
        <v>123</v>
      </c>
      <c r="G12" s="2" t="s">
        <v>22</v>
      </c>
      <c r="H12" s="2" t="s">
        <v>23</v>
      </c>
      <c r="I12" s="2" t="s">
        <v>24</v>
      </c>
      <c r="J12" s="2" t="s">
        <v>124</v>
      </c>
      <c r="K12" s="2" t="s">
        <v>125</v>
      </c>
      <c r="L12" s="2" t="s">
        <v>126</v>
      </c>
      <c r="M12" s="2" t="s">
        <v>127</v>
      </c>
      <c r="N12" s="2" t="s">
        <v>128</v>
      </c>
      <c r="O12" s="2" t="s">
        <v>129</v>
      </c>
      <c r="P12" s="2" t="s">
        <v>62</v>
      </c>
      <c r="Q12" s="2" t="s">
        <v>63</v>
      </c>
      <c r="R12" s="2" t="s">
        <v>130</v>
      </c>
      <c r="S12" s="2" t="s">
        <v>131</v>
      </c>
      <c r="T12" s="2" t="s">
        <v>35</v>
      </c>
    </row>
    <row r="13" customFormat="false" ht="23.85" hidden="false" customHeight="false" outlineLevel="0" collapsed="false">
      <c r="A13" s="2" t="n">
        <v>6</v>
      </c>
      <c r="B13" s="3" t="n">
        <f aca="false">Settings!$B$3+A13-1</f>
        <v>46319</v>
      </c>
      <c r="C13" s="2" t="str">
        <f aca="false">TEXT(B13,"ddd")</f>
        <v>Sat</v>
      </c>
      <c r="D13" s="2" t="s">
        <v>36</v>
      </c>
      <c r="E13" s="2" t="str">
        <f aca="false">Settings!$B$5</f>
        <v>18:30</v>
      </c>
      <c r="F13" s="2" t="s">
        <v>132</v>
      </c>
      <c r="G13" s="2" t="s">
        <v>22</v>
      </c>
      <c r="H13" s="2" t="s">
        <v>38</v>
      </c>
      <c r="I13" s="2" t="s">
        <v>24</v>
      </c>
      <c r="J13" s="2" t="s">
        <v>133</v>
      </c>
      <c r="K13" s="2" t="s">
        <v>134</v>
      </c>
      <c r="L13" s="2" t="s">
        <v>82</v>
      </c>
      <c r="M13" s="2" t="s">
        <v>135</v>
      </c>
      <c r="N13" s="2" t="s">
        <v>136</v>
      </c>
      <c r="O13" s="2" t="s">
        <v>137</v>
      </c>
      <c r="P13" s="2" t="s">
        <v>44</v>
      </c>
      <c r="Q13" s="2" t="s">
        <v>45</v>
      </c>
      <c r="R13" s="2" t="s">
        <v>138</v>
      </c>
      <c r="S13" s="2" t="s">
        <v>87</v>
      </c>
      <c r="T13" s="2" t="s">
        <v>35</v>
      </c>
    </row>
    <row r="14" customFormat="false" ht="23.85" hidden="false" customHeight="false" outlineLevel="0" collapsed="false">
      <c r="A14" s="2" t="n">
        <v>7</v>
      </c>
      <c r="B14" s="3" t="n">
        <f aca="false">Settings!$B$3+A14-1</f>
        <v>46320</v>
      </c>
      <c r="C14" s="2" t="str">
        <f aca="false">TEXT(B14,"ddd")</f>
        <v>Sun</v>
      </c>
      <c r="D14" s="2" t="s">
        <v>20</v>
      </c>
      <c r="E14" s="2" t="str">
        <f aca="false">Settings!$B$4</f>
        <v>06:30</v>
      </c>
      <c r="F14" s="2" t="s">
        <v>139</v>
      </c>
      <c r="G14" s="2" t="s">
        <v>22</v>
      </c>
      <c r="H14" s="2" t="s">
        <v>140</v>
      </c>
      <c r="I14" s="2" t="s">
        <v>141</v>
      </c>
      <c r="J14" s="2" t="s">
        <v>142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45</v>
      </c>
      <c r="R14" s="2" t="s">
        <v>149</v>
      </c>
      <c r="S14" s="2" t="s">
        <v>150</v>
      </c>
      <c r="T14" s="2" t="s">
        <v>35</v>
      </c>
    </row>
    <row r="15" customFormat="false" ht="23.85" hidden="false" customHeight="false" outlineLevel="0" collapsed="false">
      <c r="A15" s="2" t="n">
        <v>7</v>
      </c>
      <c r="B15" s="3" t="n">
        <f aca="false">Settings!$B$3+A15-1</f>
        <v>46320</v>
      </c>
      <c r="C15" s="2" t="str">
        <f aca="false">TEXT(B15,"ddd")</f>
        <v>Sun</v>
      </c>
      <c r="D15" s="2" t="s">
        <v>36</v>
      </c>
      <c r="E15" s="2" t="str">
        <f aca="false">Settings!$B$5</f>
        <v>18:30</v>
      </c>
      <c r="F15" s="2" t="s">
        <v>151</v>
      </c>
      <c r="G15" s="2" t="s">
        <v>22</v>
      </c>
      <c r="H15" s="2" t="s">
        <v>152</v>
      </c>
      <c r="I15" s="2" t="s">
        <v>79</v>
      </c>
      <c r="J15" s="2" t="s">
        <v>153</v>
      </c>
      <c r="K15" s="2" t="s">
        <v>154</v>
      </c>
      <c r="L15" s="2" t="s">
        <v>155</v>
      </c>
      <c r="M15" s="2" t="s">
        <v>156</v>
      </c>
      <c r="N15" s="2" t="s">
        <v>157</v>
      </c>
      <c r="O15" s="2" t="s">
        <v>158</v>
      </c>
      <c r="P15" s="2" t="s">
        <v>148</v>
      </c>
      <c r="Q15" s="2" t="s">
        <v>45</v>
      </c>
      <c r="R15" s="2" t="s">
        <v>159</v>
      </c>
      <c r="S15" s="2" t="s">
        <v>160</v>
      </c>
      <c r="T15" s="2" t="s">
        <v>35</v>
      </c>
    </row>
    <row r="16" customFormat="false" ht="23.85" hidden="false" customHeight="false" outlineLevel="0" collapsed="false">
      <c r="A16" s="2" t="n">
        <v>8</v>
      </c>
      <c r="B16" s="3" t="n">
        <f aca="false">Settings!$B$3+A16-1</f>
        <v>46321</v>
      </c>
      <c r="C16" s="2" t="str">
        <f aca="false">TEXT(B16,"ddd")</f>
        <v>Mon</v>
      </c>
      <c r="D16" s="2" t="s">
        <v>20</v>
      </c>
      <c r="E16" s="2" t="str">
        <f aca="false">Settings!$B$4</f>
        <v>06:30</v>
      </c>
      <c r="F16" s="2" t="s">
        <v>161</v>
      </c>
      <c r="G16" s="2" t="s">
        <v>22</v>
      </c>
      <c r="H16" s="2" t="s">
        <v>23</v>
      </c>
      <c r="I16" s="2" t="s">
        <v>24</v>
      </c>
      <c r="J16" s="2" t="s">
        <v>162</v>
      </c>
      <c r="K16" s="2" t="s">
        <v>100</v>
      </c>
      <c r="L16" s="2" t="s">
        <v>82</v>
      </c>
      <c r="M16" s="2" t="s">
        <v>163</v>
      </c>
      <c r="N16" s="2" t="s">
        <v>164</v>
      </c>
      <c r="O16" s="2" t="s">
        <v>103</v>
      </c>
      <c r="P16" s="2" t="s">
        <v>62</v>
      </c>
      <c r="Q16" s="2" t="s">
        <v>63</v>
      </c>
      <c r="R16" s="2" t="s">
        <v>165</v>
      </c>
      <c r="S16" s="2" t="s">
        <v>87</v>
      </c>
      <c r="T16" s="2" t="s">
        <v>35</v>
      </c>
    </row>
    <row r="17" customFormat="false" ht="23.85" hidden="false" customHeight="false" outlineLevel="0" collapsed="false">
      <c r="A17" s="2" t="n">
        <v>8</v>
      </c>
      <c r="B17" s="3" t="n">
        <f aca="false">Settings!$B$3+A17-1</f>
        <v>46321</v>
      </c>
      <c r="C17" s="2" t="str">
        <f aca="false">TEXT(B17,"ddd")</f>
        <v>Mon</v>
      </c>
      <c r="D17" s="2" t="s">
        <v>36</v>
      </c>
      <c r="E17" s="2" t="str">
        <f aca="false">Settings!$B$5</f>
        <v>18:30</v>
      </c>
      <c r="F17" s="2" t="s">
        <v>166</v>
      </c>
      <c r="G17" s="2" t="s">
        <v>22</v>
      </c>
      <c r="H17" s="2" t="s">
        <v>38</v>
      </c>
      <c r="I17" s="2" t="s">
        <v>24</v>
      </c>
      <c r="J17" s="2" t="s">
        <v>167</v>
      </c>
      <c r="K17" s="2" t="s">
        <v>168</v>
      </c>
      <c r="L17" s="2" t="s">
        <v>126</v>
      </c>
      <c r="M17" s="2" t="s">
        <v>169</v>
      </c>
      <c r="N17" s="2" t="s">
        <v>170</v>
      </c>
      <c r="O17" s="2" t="s">
        <v>171</v>
      </c>
      <c r="P17" s="2" t="s">
        <v>44</v>
      </c>
      <c r="Q17" s="2" t="s">
        <v>45</v>
      </c>
      <c r="R17" s="2" t="s">
        <v>172</v>
      </c>
      <c r="S17" s="2" t="s">
        <v>131</v>
      </c>
      <c r="T17" s="2" t="s">
        <v>35</v>
      </c>
    </row>
    <row r="18" customFormat="false" ht="23.85" hidden="false" customHeight="false" outlineLevel="0" collapsed="false">
      <c r="A18" s="2" t="n">
        <v>9</v>
      </c>
      <c r="B18" s="3" t="n">
        <f aca="false">Settings!$B$3+A18-1</f>
        <v>46322</v>
      </c>
      <c r="C18" s="2" t="str">
        <f aca="false">TEXT(B18,"ddd")</f>
        <v>Tue</v>
      </c>
      <c r="D18" s="2" t="s">
        <v>20</v>
      </c>
      <c r="E18" s="2" t="str">
        <f aca="false">Settings!$B$4</f>
        <v>06:30</v>
      </c>
      <c r="F18" s="2" t="s">
        <v>173</v>
      </c>
      <c r="G18" s="2" t="s">
        <v>22</v>
      </c>
      <c r="H18" s="2" t="s">
        <v>48</v>
      </c>
      <c r="I18" s="2" t="s">
        <v>24</v>
      </c>
      <c r="J18" s="2" t="s">
        <v>174</v>
      </c>
      <c r="K18" s="2" t="s">
        <v>175</v>
      </c>
      <c r="L18" s="2" t="s">
        <v>91</v>
      </c>
      <c r="M18" s="2" t="s">
        <v>176</v>
      </c>
      <c r="N18" s="2" t="s">
        <v>177</v>
      </c>
      <c r="O18" s="2" t="s">
        <v>178</v>
      </c>
      <c r="P18" s="2" t="s">
        <v>44</v>
      </c>
      <c r="Q18" s="2" t="s">
        <v>45</v>
      </c>
      <c r="R18" s="2" t="s">
        <v>179</v>
      </c>
      <c r="S18" s="2" t="s">
        <v>96</v>
      </c>
      <c r="T18" s="2" t="s">
        <v>35</v>
      </c>
    </row>
    <row r="19" customFormat="false" ht="23.85" hidden="false" customHeight="false" outlineLevel="0" collapsed="false">
      <c r="A19" s="2" t="n">
        <v>9</v>
      </c>
      <c r="B19" s="3" t="n">
        <f aca="false">Settings!$B$3+A19-1</f>
        <v>46322</v>
      </c>
      <c r="C19" s="2" t="str">
        <f aca="false">TEXT(B19,"ddd")</f>
        <v>Tue</v>
      </c>
      <c r="D19" s="2" t="s">
        <v>36</v>
      </c>
      <c r="E19" s="2" t="str">
        <f aca="false">Settings!$B$5</f>
        <v>18:30</v>
      </c>
      <c r="F19" s="2" t="s">
        <v>180</v>
      </c>
      <c r="G19" s="2" t="s">
        <v>22</v>
      </c>
      <c r="H19" s="2" t="s">
        <v>23</v>
      </c>
      <c r="I19" s="2" t="s">
        <v>24</v>
      </c>
      <c r="J19" s="2" t="s">
        <v>181</v>
      </c>
      <c r="K19" s="2" t="s">
        <v>182</v>
      </c>
      <c r="L19" s="2" t="s">
        <v>183</v>
      </c>
      <c r="M19" s="2" t="s">
        <v>184</v>
      </c>
      <c r="N19" s="2" t="s">
        <v>185</v>
      </c>
      <c r="O19" s="2" t="s">
        <v>186</v>
      </c>
      <c r="P19" s="2" t="s">
        <v>62</v>
      </c>
      <c r="Q19" s="2" t="s">
        <v>63</v>
      </c>
      <c r="R19" s="2" t="s">
        <v>187</v>
      </c>
      <c r="S19" s="2" t="s">
        <v>188</v>
      </c>
      <c r="T19" s="2" t="s">
        <v>35</v>
      </c>
    </row>
    <row r="20" customFormat="false" ht="23.85" hidden="false" customHeight="false" outlineLevel="0" collapsed="false">
      <c r="A20" s="2" t="n">
        <v>10</v>
      </c>
      <c r="B20" s="3" t="n">
        <f aca="false">Settings!$B$3+A20-1</f>
        <v>46323</v>
      </c>
      <c r="C20" s="2" t="str">
        <f aca="false">TEXT(B20,"ddd")</f>
        <v>Wed</v>
      </c>
      <c r="D20" s="2" t="s">
        <v>20</v>
      </c>
      <c r="E20" s="2" t="str">
        <f aca="false">Settings!$B$4</f>
        <v>06:30</v>
      </c>
      <c r="F20" s="2" t="s">
        <v>189</v>
      </c>
      <c r="G20" s="2" t="s">
        <v>22</v>
      </c>
      <c r="H20" s="2" t="s">
        <v>67</v>
      </c>
      <c r="I20" s="2" t="s">
        <v>24</v>
      </c>
      <c r="J20" s="2" t="s">
        <v>190</v>
      </c>
      <c r="K20" s="2" t="s">
        <v>191</v>
      </c>
      <c r="L20" s="2" t="s">
        <v>58</v>
      </c>
      <c r="M20" s="2" t="s">
        <v>192</v>
      </c>
      <c r="N20" s="2" t="s">
        <v>193</v>
      </c>
      <c r="O20" s="2" t="s">
        <v>72</v>
      </c>
      <c r="P20" s="2" t="s">
        <v>62</v>
      </c>
      <c r="Q20" s="2" t="s">
        <v>74</v>
      </c>
      <c r="R20" s="2" t="s">
        <v>194</v>
      </c>
      <c r="S20" s="2" t="s">
        <v>195</v>
      </c>
      <c r="T20" s="2" t="s">
        <v>35</v>
      </c>
    </row>
    <row r="21" customFormat="false" ht="23.85" hidden="false" customHeight="false" outlineLevel="0" collapsed="false">
      <c r="A21" s="2" t="n">
        <v>10</v>
      </c>
      <c r="B21" s="3" t="n">
        <f aca="false">Settings!$B$3+A21-1</f>
        <v>46323</v>
      </c>
      <c r="C21" s="2" t="str">
        <f aca="false">TEXT(B21,"ddd")</f>
        <v>Wed</v>
      </c>
      <c r="D21" s="2" t="s">
        <v>36</v>
      </c>
      <c r="E21" s="2" t="str">
        <f aca="false">Settings!$B$5</f>
        <v>18:30</v>
      </c>
      <c r="F21" s="2" t="s">
        <v>196</v>
      </c>
      <c r="G21" s="2" t="s">
        <v>22</v>
      </c>
      <c r="H21" s="2" t="s">
        <v>78</v>
      </c>
      <c r="I21" s="2" t="s">
        <v>79</v>
      </c>
      <c r="J21" s="2" t="s">
        <v>197</v>
      </c>
      <c r="K21" s="2" t="s">
        <v>198</v>
      </c>
      <c r="L21" s="2" t="s">
        <v>58</v>
      </c>
      <c r="M21" s="2" t="s">
        <v>199</v>
      </c>
      <c r="N21" s="2" t="s">
        <v>200</v>
      </c>
      <c r="O21" s="2" t="s">
        <v>201</v>
      </c>
      <c r="P21" s="2" t="s">
        <v>44</v>
      </c>
      <c r="Q21" s="2" t="s">
        <v>45</v>
      </c>
      <c r="R21" s="2" t="s">
        <v>202</v>
      </c>
      <c r="S21" s="2" t="s">
        <v>65</v>
      </c>
      <c r="T21" s="2" t="s">
        <v>35</v>
      </c>
    </row>
    <row r="22" customFormat="false" ht="23.85" hidden="false" customHeight="false" outlineLevel="0" collapsed="false">
      <c r="A22" s="2" t="n">
        <v>11</v>
      </c>
      <c r="B22" s="3" t="n">
        <f aca="false">Settings!$B$3+A22-1</f>
        <v>46324</v>
      </c>
      <c r="C22" s="2" t="str">
        <f aca="false">TEXT(B22,"ddd")</f>
        <v>Thu</v>
      </c>
      <c r="D22" s="2" t="s">
        <v>20</v>
      </c>
      <c r="E22" s="2" t="str">
        <f aca="false">Settings!$B$4</f>
        <v>06:30</v>
      </c>
      <c r="F22" s="2" t="s">
        <v>203</v>
      </c>
      <c r="G22" s="2" t="s">
        <v>22</v>
      </c>
      <c r="H22" s="2" t="s">
        <v>23</v>
      </c>
      <c r="I22" s="2" t="s">
        <v>24</v>
      </c>
      <c r="J22" s="2" t="s">
        <v>204</v>
      </c>
      <c r="K22" s="2" t="s">
        <v>205</v>
      </c>
      <c r="L22" s="2" t="s">
        <v>27</v>
      </c>
      <c r="M22" s="2" t="s">
        <v>206</v>
      </c>
      <c r="N22" s="2" t="s">
        <v>207</v>
      </c>
      <c r="O22" s="2" t="s">
        <v>208</v>
      </c>
      <c r="P22" s="2" t="s">
        <v>62</v>
      </c>
      <c r="Q22" s="2" t="s">
        <v>63</v>
      </c>
      <c r="R22" s="2" t="s">
        <v>209</v>
      </c>
      <c r="S22" s="2" t="s">
        <v>34</v>
      </c>
      <c r="T22" s="2" t="s">
        <v>35</v>
      </c>
    </row>
    <row r="23" customFormat="false" ht="23.85" hidden="false" customHeight="false" outlineLevel="0" collapsed="false">
      <c r="A23" s="2" t="n">
        <v>11</v>
      </c>
      <c r="B23" s="3" t="n">
        <f aca="false">Settings!$B$3+A23-1</f>
        <v>46324</v>
      </c>
      <c r="C23" s="2" t="str">
        <f aca="false">TEXT(B23,"ddd")</f>
        <v>Thu</v>
      </c>
      <c r="D23" s="2" t="s">
        <v>36</v>
      </c>
      <c r="E23" s="2" t="str">
        <f aca="false">Settings!$B$5</f>
        <v>18:30</v>
      </c>
      <c r="F23" s="2" t="s">
        <v>210</v>
      </c>
      <c r="G23" s="2" t="s">
        <v>22</v>
      </c>
      <c r="H23" s="2" t="s">
        <v>98</v>
      </c>
      <c r="I23" s="2" t="s">
        <v>24</v>
      </c>
      <c r="J23" s="2" t="s">
        <v>211</v>
      </c>
      <c r="K23" s="2" t="s">
        <v>26</v>
      </c>
      <c r="L23" s="2" t="s">
        <v>27</v>
      </c>
      <c r="M23" s="2" t="s">
        <v>212</v>
      </c>
      <c r="N23" s="2" t="s">
        <v>102</v>
      </c>
      <c r="O23" s="2" t="s">
        <v>30</v>
      </c>
      <c r="P23" s="2" t="s">
        <v>31</v>
      </c>
      <c r="Q23" s="2" t="s">
        <v>104</v>
      </c>
      <c r="R23" s="2" t="s">
        <v>213</v>
      </c>
      <c r="S23" s="2" t="s">
        <v>214</v>
      </c>
      <c r="T23" s="2" t="s">
        <v>35</v>
      </c>
    </row>
    <row r="24" customFormat="false" ht="23.85" hidden="false" customHeight="false" outlineLevel="0" collapsed="false">
      <c r="A24" s="2" t="n">
        <v>12</v>
      </c>
      <c r="B24" s="3" t="n">
        <f aca="false">Settings!$B$3+A24-1</f>
        <v>46325</v>
      </c>
      <c r="C24" s="2" t="str">
        <f aca="false">TEXT(B24,"ddd")</f>
        <v>Fri</v>
      </c>
      <c r="D24" s="2" t="s">
        <v>20</v>
      </c>
      <c r="E24" s="2" t="str">
        <f aca="false">Settings!$B$4</f>
        <v>06:30</v>
      </c>
      <c r="F24" s="2" t="s">
        <v>215</v>
      </c>
      <c r="G24" s="2" t="s">
        <v>22</v>
      </c>
      <c r="H24" s="2" t="s">
        <v>108</v>
      </c>
      <c r="I24" s="2" t="s">
        <v>24</v>
      </c>
      <c r="J24" s="2" t="s">
        <v>216</v>
      </c>
      <c r="K24" s="2" t="s">
        <v>217</v>
      </c>
      <c r="L24" s="2" t="s">
        <v>27</v>
      </c>
      <c r="M24" s="2" t="s">
        <v>218</v>
      </c>
      <c r="N24" s="2" t="s">
        <v>219</v>
      </c>
      <c r="O24" s="2" t="s">
        <v>112</v>
      </c>
      <c r="P24" s="2" t="s">
        <v>113</v>
      </c>
      <c r="Q24" s="2" t="s">
        <v>74</v>
      </c>
      <c r="R24" s="2" t="s">
        <v>220</v>
      </c>
      <c r="S24" s="2" t="s">
        <v>115</v>
      </c>
      <c r="T24" s="2" t="s">
        <v>35</v>
      </c>
    </row>
    <row r="25" customFormat="false" ht="23.85" hidden="false" customHeight="false" outlineLevel="0" collapsed="false">
      <c r="A25" s="2" t="n">
        <v>12</v>
      </c>
      <c r="B25" s="3" t="n">
        <f aca="false">Settings!$B$3+A25-1</f>
        <v>46325</v>
      </c>
      <c r="C25" s="2" t="str">
        <f aca="false">TEXT(B25,"ddd")</f>
        <v>Fri</v>
      </c>
      <c r="D25" s="2" t="s">
        <v>36</v>
      </c>
      <c r="E25" s="2" t="str">
        <f aca="false">Settings!$B$5</f>
        <v>18:30</v>
      </c>
      <c r="F25" s="2" t="s">
        <v>221</v>
      </c>
      <c r="G25" s="2" t="s">
        <v>22</v>
      </c>
      <c r="H25" s="2" t="s">
        <v>48</v>
      </c>
      <c r="I25" s="2" t="s">
        <v>24</v>
      </c>
      <c r="J25" s="2" t="s">
        <v>222</v>
      </c>
      <c r="K25" s="2" t="s">
        <v>223</v>
      </c>
      <c r="L25" s="2" t="s">
        <v>224</v>
      </c>
      <c r="M25" s="2" t="s">
        <v>225</v>
      </c>
      <c r="N25" s="2" t="s">
        <v>226</v>
      </c>
      <c r="O25" s="2" t="s">
        <v>121</v>
      </c>
      <c r="P25" s="2" t="s">
        <v>62</v>
      </c>
      <c r="Q25" s="2" t="s">
        <v>63</v>
      </c>
      <c r="R25" s="2" t="s">
        <v>227</v>
      </c>
      <c r="S25" s="2" t="s">
        <v>228</v>
      </c>
      <c r="T25" s="2" t="s">
        <v>35</v>
      </c>
    </row>
    <row r="26" customFormat="false" ht="23.85" hidden="false" customHeight="false" outlineLevel="0" collapsed="false">
      <c r="A26" s="2" t="n">
        <v>13</v>
      </c>
      <c r="B26" s="3" t="n">
        <f aca="false">Settings!$B$3+A26-1</f>
        <v>46326</v>
      </c>
      <c r="C26" s="2" t="str">
        <f aca="false">TEXT(B26,"ddd")</f>
        <v>Sat</v>
      </c>
      <c r="D26" s="2" t="s">
        <v>20</v>
      </c>
      <c r="E26" s="2" t="str">
        <f aca="false">Settings!$B$4</f>
        <v>06:30</v>
      </c>
      <c r="F26" s="2" t="s">
        <v>229</v>
      </c>
      <c r="G26" s="2" t="s">
        <v>22</v>
      </c>
      <c r="H26" s="2" t="s">
        <v>23</v>
      </c>
      <c r="I26" s="2" t="s">
        <v>24</v>
      </c>
      <c r="J26" s="2" t="s">
        <v>230</v>
      </c>
      <c r="K26" s="2" t="s">
        <v>231</v>
      </c>
      <c r="L26" s="2" t="s">
        <v>82</v>
      </c>
      <c r="M26" s="2" t="s">
        <v>232</v>
      </c>
      <c r="N26" s="2" t="s">
        <v>233</v>
      </c>
      <c r="O26" s="2" t="s">
        <v>186</v>
      </c>
      <c r="P26" s="2" t="s">
        <v>62</v>
      </c>
      <c r="Q26" s="2" t="s">
        <v>63</v>
      </c>
      <c r="R26" s="2" t="s">
        <v>234</v>
      </c>
      <c r="S26" s="2" t="s">
        <v>87</v>
      </c>
      <c r="T26" s="2" t="s">
        <v>35</v>
      </c>
    </row>
    <row r="27" customFormat="false" ht="23.85" hidden="false" customHeight="false" outlineLevel="0" collapsed="false">
      <c r="A27" s="2" t="n">
        <v>13</v>
      </c>
      <c r="B27" s="3" t="n">
        <f aca="false">Settings!$B$3+A27-1</f>
        <v>46326</v>
      </c>
      <c r="C27" s="2" t="str">
        <f aca="false">TEXT(B27,"ddd")</f>
        <v>Sat</v>
      </c>
      <c r="D27" s="2" t="s">
        <v>36</v>
      </c>
      <c r="E27" s="2" t="str">
        <f aca="false">Settings!$B$5</f>
        <v>18:30</v>
      </c>
      <c r="F27" s="2" t="s">
        <v>235</v>
      </c>
      <c r="G27" s="2" t="s">
        <v>22</v>
      </c>
      <c r="H27" s="2" t="s">
        <v>38</v>
      </c>
      <c r="I27" s="2" t="s">
        <v>24</v>
      </c>
      <c r="J27" s="2" t="s">
        <v>236</v>
      </c>
      <c r="K27" s="2" t="s">
        <v>237</v>
      </c>
      <c r="L27" s="2" t="s">
        <v>91</v>
      </c>
      <c r="M27" s="2" t="s">
        <v>238</v>
      </c>
      <c r="N27" s="2" t="s">
        <v>239</v>
      </c>
      <c r="O27" s="2" t="s">
        <v>103</v>
      </c>
      <c r="P27" s="2" t="s">
        <v>44</v>
      </c>
      <c r="Q27" s="2" t="s">
        <v>45</v>
      </c>
      <c r="R27" s="2" t="s">
        <v>240</v>
      </c>
      <c r="S27" s="2" t="s">
        <v>96</v>
      </c>
      <c r="T27" s="2" t="s">
        <v>35</v>
      </c>
    </row>
    <row r="28" customFormat="false" ht="23.85" hidden="false" customHeight="false" outlineLevel="0" collapsed="false">
      <c r="A28" s="2" t="n">
        <v>14</v>
      </c>
      <c r="B28" s="3" t="n">
        <f aca="false">Settings!$B$3+A28-1</f>
        <v>46327</v>
      </c>
      <c r="C28" s="2" t="str">
        <f aca="false">TEXT(B28,"ddd")</f>
        <v>Sun</v>
      </c>
      <c r="D28" s="2" t="s">
        <v>20</v>
      </c>
      <c r="E28" s="2" t="str">
        <f aca="false">Settings!$B$4</f>
        <v>06:30</v>
      </c>
      <c r="F28" s="2" t="s">
        <v>241</v>
      </c>
      <c r="G28" s="2" t="s">
        <v>22</v>
      </c>
      <c r="H28" s="2" t="s">
        <v>140</v>
      </c>
      <c r="I28" s="2" t="s">
        <v>141</v>
      </c>
      <c r="J28" s="2" t="s">
        <v>242</v>
      </c>
      <c r="K28" s="2" t="s">
        <v>143</v>
      </c>
      <c r="L28" s="2" t="s">
        <v>144</v>
      </c>
      <c r="M28" s="2" t="s">
        <v>243</v>
      </c>
      <c r="N28" s="2" t="s">
        <v>146</v>
      </c>
      <c r="O28" s="2" t="s">
        <v>147</v>
      </c>
      <c r="P28" s="2" t="s">
        <v>148</v>
      </c>
      <c r="Q28" s="2" t="s">
        <v>45</v>
      </c>
      <c r="R28" s="2" t="s">
        <v>244</v>
      </c>
      <c r="S28" s="2" t="s">
        <v>150</v>
      </c>
      <c r="T28" s="2" t="s">
        <v>35</v>
      </c>
    </row>
    <row r="29" customFormat="false" ht="23.85" hidden="false" customHeight="false" outlineLevel="0" collapsed="false">
      <c r="A29" s="2" t="n">
        <v>14</v>
      </c>
      <c r="B29" s="3" t="n">
        <f aca="false">Settings!$B$3+A29-1</f>
        <v>46327</v>
      </c>
      <c r="C29" s="2" t="str">
        <f aca="false">TEXT(B29,"ddd")</f>
        <v>Sun</v>
      </c>
      <c r="D29" s="2" t="s">
        <v>36</v>
      </c>
      <c r="E29" s="2" t="str">
        <f aca="false">Settings!$B$5</f>
        <v>18:30</v>
      </c>
      <c r="F29" s="2" t="s">
        <v>245</v>
      </c>
      <c r="G29" s="2" t="s">
        <v>22</v>
      </c>
      <c r="H29" s="2" t="s">
        <v>48</v>
      </c>
      <c r="I29" s="2" t="s">
        <v>24</v>
      </c>
      <c r="J29" s="2" t="s">
        <v>246</v>
      </c>
      <c r="K29" s="2" t="s">
        <v>247</v>
      </c>
      <c r="L29" s="2" t="s">
        <v>126</v>
      </c>
      <c r="M29" s="2" t="s">
        <v>248</v>
      </c>
      <c r="N29" s="2" t="s">
        <v>249</v>
      </c>
      <c r="O29" s="2" t="s">
        <v>178</v>
      </c>
      <c r="P29" s="2" t="s">
        <v>44</v>
      </c>
      <c r="Q29" s="2" t="s">
        <v>45</v>
      </c>
      <c r="R29" s="2" t="s">
        <v>250</v>
      </c>
      <c r="S29" s="2" t="s">
        <v>131</v>
      </c>
      <c r="T29" s="2" t="s">
        <v>35</v>
      </c>
    </row>
    <row r="30" customFormat="false" ht="23.85" hidden="false" customHeight="false" outlineLevel="0" collapsed="false">
      <c r="A30" s="2" t="n">
        <v>15</v>
      </c>
      <c r="B30" s="3" t="n">
        <f aca="false">Settings!$B$3+A30-1</f>
        <v>46328</v>
      </c>
      <c r="C30" s="2" t="str">
        <f aca="false">TEXT(B30,"ddd")</f>
        <v>Mon</v>
      </c>
      <c r="D30" s="2" t="s">
        <v>20</v>
      </c>
      <c r="E30" s="2" t="str">
        <f aca="false">Settings!$B$4</f>
        <v>06:30</v>
      </c>
      <c r="F30" s="2" t="s">
        <v>251</v>
      </c>
      <c r="G30" s="2" t="s">
        <v>22</v>
      </c>
      <c r="H30" s="2" t="s">
        <v>23</v>
      </c>
      <c r="I30" s="2" t="s">
        <v>24</v>
      </c>
      <c r="J30" s="2" t="s">
        <v>252</v>
      </c>
      <c r="K30" s="2" t="s">
        <v>253</v>
      </c>
      <c r="L30" s="2" t="s">
        <v>254</v>
      </c>
      <c r="M30" s="2" t="s">
        <v>255</v>
      </c>
      <c r="N30" s="2" t="s">
        <v>256</v>
      </c>
      <c r="O30" s="2" t="s">
        <v>257</v>
      </c>
      <c r="P30" s="4" t="s">
        <v>31</v>
      </c>
      <c r="Q30" s="2" t="s">
        <v>32</v>
      </c>
      <c r="R30" s="2" t="s">
        <v>258</v>
      </c>
      <c r="S30" s="2" t="s">
        <v>259</v>
      </c>
      <c r="T30" s="2" t="s">
        <v>35</v>
      </c>
    </row>
    <row r="31" customFormat="false" ht="23.85" hidden="false" customHeight="false" outlineLevel="0" collapsed="false">
      <c r="A31" s="2" t="n">
        <v>15</v>
      </c>
      <c r="B31" s="3" t="n">
        <f aca="false">Settings!$B$3+A31-1</f>
        <v>46328</v>
      </c>
      <c r="C31" s="2" t="str">
        <f aca="false">TEXT(B31,"ddd")</f>
        <v>Mon</v>
      </c>
      <c r="D31" s="2" t="s">
        <v>36</v>
      </c>
      <c r="E31" s="2" t="str">
        <f aca="false">Settings!$B$5</f>
        <v>18:30</v>
      </c>
      <c r="F31" s="2" t="s">
        <v>260</v>
      </c>
      <c r="G31" s="2" t="s">
        <v>22</v>
      </c>
      <c r="H31" s="2" t="s">
        <v>38</v>
      </c>
      <c r="I31" s="2" t="s">
        <v>24</v>
      </c>
      <c r="J31" s="2" t="s">
        <v>261</v>
      </c>
      <c r="K31" s="2" t="s">
        <v>262</v>
      </c>
      <c r="L31" s="2" t="s">
        <v>126</v>
      </c>
      <c r="M31" s="2" t="s">
        <v>263</v>
      </c>
      <c r="N31" s="2" t="s">
        <v>264</v>
      </c>
      <c r="O31" s="2" t="s">
        <v>171</v>
      </c>
      <c r="P31" s="2" t="s">
        <v>44</v>
      </c>
      <c r="Q31" s="2" t="s">
        <v>45</v>
      </c>
      <c r="R31" s="2" t="s">
        <v>265</v>
      </c>
      <c r="S31" s="2" t="s">
        <v>131</v>
      </c>
      <c r="T31" s="2" t="s">
        <v>35</v>
      </c>
    </row>
    <row r="32" customFormat="false" ht="23.85" hidden="false" customHeight="false" outlineLevel="0" collapsed="false">
      <c r="A32" s="2" t="n">
        <v>16</v>
      </c>
      <c r="B32" s="3" t="n">
        <f aca="false">Settings!$B$3+A32-1</f>
        <v>46329</v>
      </c>
      <c r="C32" s="2" t="str">
        <f aca="false">TEXT(B32,"ddd")</f>
        <v>Tue</v>
      </c>
      <c r="D32" s="2" t="s">
        <v>20</v>
      </c>
      <c r="E32" s="2" t="str">
        <f aca="false">Settings!$B$4</f>
        <v>06:30</v>
      </c>
      <c r="F32" s="2" t="s">
        <v>266</v>
      </c>
      <c r="G32" s="2" t="s">
        <v>22</v>
      </c>
      <c r="H32" s="2" t="s">
        <v>48</v>
      </c>
      <c r="I32" s="2" t="s">
        <v>24</v>
      </c>
      <c r="J32" s="2" t="s">
        <v>267</v>
      </c>
      <c r="K32" s="2" t="s">
        <v>268</v>
      </c>
      <c r="L32" s="2" t="s">
        <v>82</v>
      </c>
      <c r="M32" s="2" t="s">
        <v>269</v>
      </c>
      <c r="N32" s="2" t="s">
        <v>270</v>
      </c>
      <c r="O32" s="2" t="s">
        <v>271</v>
      </c>
      <c r="P32" s="2" t="s">
        <v>62</v>
      </c>
      <c r="Q32" s="2" t="s">
        <v>63</v>
      </c>
      <c r="R32" s="2" t="s">
        <v>272</v>
      </c>
      <c r="S32" s="2" t="s">
        <v>87</v>
      </c>
      <c r="T32" s="2" t="s">
        <v>35</v>
      </c>
    </row>
    <row r="33" customFormat="false" ht="23.85" hidden="false" customHeight="false" outlineLevel="0" collapsed="false">
      <c r="A33" s="2" t="n">
        <v>16</v>
      </c>
      <c r="B33" s="3" t="n">
        <f aca="false">Settings!$B$3+A33-1</f>
        <v>46329</v>
      </c>
      <c r="C33" s="2" t="str">
        <f aca="false">TEXT(B33,"ddd")</f>
        <v>Tue</v>
      </c>
      <c r="D33" s="2" t="s">
        <v>36</v>
      </c>
      <c r="E33" s="2" t="str">
        <f aca="false">Settings!$B$5</f>
        <v>18:30</v>
      </c>
      <c r="F33" s="2" t="s">
        <v>273</v>
      </c>
      <c r="G33" s="2" t="s">
        <v>22</v>
      </c>
      <c r="H33" s="2" t="s">
        <v>23</v>
      </c>
      <c r="I33" s="2" t="s">
        <v>24</v>
      </c>
      <c r="J33" s="2" t="s">
        <v>274</v>
      </c>
      <c r="K33" s="2" t="s">
        <v>275</v>
      </c>
      <c r="L33" s="2" t="s">
        <v>224</v>
      </c>
      <c r="M33" s="2" t="s">
        <v>276</v>
      </c>
      <c r="N33" s="2" t="s">
        <v>277</v>
      </c>
      <c r="O33" s="2" t="s">
        <v>278</v>
      </c>
      <c r="P33" s="4" t="s">
        <v>31</v>
      </c>
      <c r="Q33" s="2" t="s">
        <v>32</v>
      </c>
      <c r="R33" s="2" t="s">
        <v>279</v>
      </c>
      <c r="S33" s="2" t="s">
        <v>228</v>
      </c>
      <c r="T33" s="2" t="s">
        <v>35</v>
      </c>
    </row>
    <row r="34" customFormat="false" ht="35.05" hidden="false" customHeight="false" outlineLevel="0" collapsed="false">
      <c r="A34" s="2" t="n">
        <v>17</v>
      </c>
      <c r="B34" s="3" t="n">
        <f aca="false">Settings!$B$3+A34-1</f>
        <v>46330</v>
      </c>
      <c r="C34" s="2" t="str">
        <f aca="false">TEXT(B34,"ddd")</f>
        <v>Wed</v>
      </c>
      <c r="D34" s="2" t="s">
        <v>20</v>
      </c>
      <c r="E34" s="2" t="str">
        <f aca="false">Settings!$B$4</f>
        <v>06:30</v>
      </c>
      <c r="F34" s="2" t="s">
        <v>280</v>
      </c>
      <c r="G34" s="2" t="s">
        <v>22</v>
      </c>
      <c r="H34" s="2" t="s">
        <v>67</v>
      </c>
      <c r="I34" s="2" t="s">
        <v>24</v>
      </c>
      <c r="J34" s="2" t="s">
        <v>281</v>
      </c>
      <c r="K34" s="2" t="s">
        <v>282</v>
      </c>
      <c r="L34" s="2" t="s">
        <v>82</v>
      </c>
      <c r="M34" s="2" t="s">
        <v>283</v>
      </c>
      <c r="N34" s="2" t="s">
        <v>284</v>
      </c>
      <c r="O34" s="2" t="s">
        <v>72</v>
      </c>
      <c r="P34" s="2" t="s">
        <v>285</v>
      </c>
      <c r="Q34" s="2" t="s">
        <v>74</v>
      </c>
      <c r="R34" s="2" t="s">
        <v>286</v>
      </c>
      <c r="S34" s="2" t="s">
        <v>287</v>
      </c>
      <c r="T34" s="2" t="s">
        <v>35</v>
      </c>
    </row>
    <row r="35" customFormat="false" ht="23.85" hidden="false" customHeight="false" outlineLevel="0" collapsed="false">
      <c r="A35" s="2" t="n">
        <v>17</v>
      </c>
      <c r="B35" s="3" t="n">
        <f aca="false">Settings!$B$3+A35-1</f>
        <v>46330</v>
      </c>
      <c r="C35" s="2" t="str">
        <f aca="false">TEXT(B35,"ddd")</f>
        <v>Wed</v>
      </c>
      <c r="D35" s="2" t="s">
        <v>36</v>
      </c>
      <c r="E35" s="2" t="str">
        <f aca="false">Settings!$B$5</f>
        <v>18:30</v>
      </c>
      <c r="F35" s="2" t="s">
        <v>288</v>
      </c>
      <c r="G35" s="2" t="s">
        <v>22</v>
      </c>
      <c r="H35" s="2" t="s">
        <v>78</v>
      </c>
      <c r="I35" s="2" t="s">
        <v>79</v>
      </c>
      <c r="J35" s="2" t="s">
        <v>289</v>
      </c>
      <c r="K35" s="2" t="s">
        <v>290</v>
      </c>
      <c r="L35" s="2" t="s">
        <v>254</v>
      </c>
      <c r="M35" s="2" t="s">
        <v>291</v>
      </c>
      <c r="N35" s="2" t="s">
        <v>292</v>
      </c>
      <c r="O35" s="2" t="s">
        <v>293</v>
      </c>
      <c r="P35" s="2" t="s">
        <v>31</v>
      </c>
      <c r="Q35" s="2" t="s">
        <v>32</v>
      </c>
      <c r="R35" s="2" t="s">
        <v>294</v>
      </c>
      <c r="S35" s="2" t="s">
        <v>259</v>
      </c>
      <c r="T35" s="2" t="s">
        <v>35</v>
      </c>
    </row>
    <row r="36" customFormat="false" ht="23.85" hidden="false" customHeight="false" outlineLevel="0" collapsed="false">
      <c r="A36" s="2" t="n">
        <v>18</v>
      </c>
      <c r="B36" s="3" t="n">
        <f aca="false">Settings!$B$3+A36-1</f>
        <v>46331</v>
      </c>
      <c r="C36" s="2" t="str">
        <f aca="false">TEXT(B36,"ddd")</f>
        <v>Thu</v>
      </c>
      <c r="D36" s="2" t="s">
        <v>20</v>
      </c>
      <c r="E36" s="2" t="str">
        <f aca="false">Settings!$B$4</f>
        <v>06:30</v>
      </c>
      <c r="F36" s="2" t="s">
        <v>295</v>
      </c>
      <c r="G36" s="2" t="s">
        <v>22</v>
      </c>
      <c r="H36" s="2" t="s">
        <v>23</v>
      </c>
      <c r="I36" s="2" t="s">
        <v>24</v>
      </c>
      <c r="J36" s="2" t="s">
        <v>296</v>
      </c>
      <c r="K36" s="2" t="s">
        <v>297</v>
      </c>
      <c r="L36" s="2" t="s">
        <v>58</v>
      </c>
      <c r="M36" s="2" t="s">
        <v>298</v>
      </c>
      <c r="N36" s="2" t="s">
        <v>299</v>
      </c>
      <c r="O36" s="2" t="s">
        <v>300</v>
      </c>
      <c r="P36" s="2" t="s">
        <v>62</v>
      </c>
      <c r="Q36" s="2" t="s">
        <v>63</v>
      </c>
      <c r="R36" s="2" t="s">
        <v>301</v>
      </c>
      <c r="S36" s="2" t="s">
        <v>65</v>
      </c>
      <c r="T36" s="2" t="s">
        <v>35</v>
      </c>
    </row>
    <row r="37" customFormat="false" ht="23.85" hidden="false" customHeight="false" outlineLevel="0" collapsed="false">
      <c r="A37" s="2" t="n">
        <v>18</v>
      </c>
      <c r="B37" s="3" t="n">
        <f aca="false">Settings!$B$3+A37-1</f>
        <v>46331</v>
      </c>
      <c r="C37" s="2" t="str">
        <f aca="false">TEXT(B37,"ddd")</f>
        <v>Thu</v>
      </c>
      <c r="D37" s="2" t="s">
        <v>36</v>
      </c>
      <c r="E37" s="2" t="str">
        <f aca="false">Settings!$B$5</f>
        <v>18:30</v>
      </c>
      <c r="F37" s="2" t="s">
        <v>302</v>
      </c>
      <c r="G37" s="2" t="s">
        <v>22</v>
      </c>
      <c r="H37" s="2" t="s">
        <v>98</v>
      </c>
      <c r="I37" s="2" t="s">
        <v>24</v>
      </c>
      <c r="J37" s="2" t="s">
        <v>303</v>
      </c>
      <c r="K37" s="2" t="s">
        <v>57</v>
      </c>
      <c r="L37" s="2" t="s">
        <v>58</v>
      </c>
      <c r="M37" s="2" t="s">
        <v>304</v>
      </c>
      <c r="N37" s="2" t="s">
        <v>102</v>
      </c>
      <c r="O37" s="2" t="s">
        <v>61</v>
      </c>
      <c r="P37" s="2" t="s">
        <v>62</v>
      </c>
      <c r="Q37" s="2" t="s">
        <v>104</v>
      </c>
      <c r="R37" s="2" t="s">
        <v>305</v>
      </c>
      <c r="S37" s="2" t="s">
        <v>306</v>
      </c>
      <c r="T37" s="2" t="s">
        <v>35</v>
      </c>
    </row>
    <row r="38" customFormat="false" ht="23.85" hidden="false" customHeight="false" outlineLevel="0" collapsed="false">
      <c r="A38" s="2" t="n">
        <v>19</v>
      </c>
      <c r="B38" s="3" t="n">
        <f aca="false">Settings!$B$3+A38-1</f>
        <v>46332</v>
      </c>
      <c r="C38" s="2" t="str">
        <f aca="false">TEXT(B38,"ddd")</f>
        <v>Fri</v>
      </c>
      <c r="D38" s="2" t="s">
        <v>20</v>
      </c>
      <c r="E38" s="2" t="str">
        <f aca="false">Settings!$B$4</f>
        <v>06:30</v>
      </c>
      <c r="F38" s="2" t="s">
        <v>307</v>
      </c>
      <c r="G38" s="2" t="s">
        <v>22</v>
      </c>
      <c r="H38" s="2" t="s">
        <v>108</v>
      </c>
      <c r="I38" s="2" t="s">
        <v>24</v>
      </c>
      <c r="J38" s="2" t="s">
        <v>308</v>
      </c>
      <c r="K38" s="2" t="s">
        <v>309</v>
      </c>
      <c r="L38" s="2" t="s">
        <v>82</v>
      </c>
      <c r="M38" s="2" t="s">
        <v>310</v>
      </c>
      <c r="N38" s="2" t="s">
        <v>311</v>
      </c>
      <c r="O38" s="2" t="s">
        <v>112</v>
      </c>
      <c r="P38" s="2" t="s">
        <v>113</v>
      </c>
      <c r="Q38" s="2" t="s">
        <v>74</v>
      </c>
      <c r="R38" s="2" t="s">
        <v>312</v>
      </c>
      <c r="S38" s="2" t="s">
        <v>313</v>
      </c>
      <c r="T38" s="2" t="s">
        <v>35</v>
      </c>
    </row>
    <row r="39" customFormat="false" ht="23.85" hidden="false" customHeight="false" outlineLevel="0" collapsed="false">
      <c r="A39" s="2" t="n">
        <v>19</v>
      </c>
      <c r="B39" s="3" t="n">
        <f aca="false">Settings!$B$3+A39-1</f>
        <v>46332</v>
      </c>
      <c r="C39" s="2" t="str">
        <f aca="false">TEXT(B39,"ddd")</f>
        <v>Fri</v>
      </c>
      <c r="D39" s="2" t="s">
        <v>36</v>
      </c>
      <c r="E39" s="2" t="str">
        <f aca="false">Settings!$B$5</f>
        <v>18:30</v>
      </c>
      <c r="F39" s="2" t="s">
        <v>314</v>
      </c>
      <c r="G39" s="2" t="s">
        <v>22</v>
      </c>
      <c r="H39" s="2" t="s">
        <v>48</v>
      </c>
      <c r="I39" s="2" t="s">
        <v>24</v>
      </c>
      <c r="J39" s="2" t="s">
        <v>315</v>
      </c>
      <c r="K39" s="2" t="s">
        <v>316</v>
      </c>
      <c r="L39" s="2" t="s">
        <v>82</v>
      </c>
      <c r="M39" s="2" t="s">
        <v>317</v>
      </c>
      <c r="N39" s="2" t="s">
        <v>318</v>
      </c>
      <c r="O39" s="2" t="s">
        <v>319</v>
      </c>
      <c r="P39" s="2" t="s">
        <v>62</v>
      </c>
      <c r="Q39" s="2" t="s">
        <v>63</v>
      </c>
      <c r="R39" s="2" t="s">
        <v>320</v>
      </c>
      <c r="S39" s="2" t="s">
        <v>87</v>
      </c>
      <c r="T39" s="2" t="s">
        <v>35</v>
      </c>
    </row>
    <row r="40" customFormat="false" ht="23.85" hidden="false" customHeight="false" outlineLevel="0" collapsed="false">
      <c r="A40" s="2" t="n">
        <v>20</v>
      </c>
      <c r="B40" s="3" t="n">
        <f aca="false">Settings!$B$3+A40-1</f>
        <v>46333</v>
      </c>
      <c r="C40" s="2" t="str">
        <f aca="false">TEXT(B40,"ddd")</f>
        <v>Sat</v>
      </c>
      <c r="D40" s="2" t="s">
        <v>20</v>
      </c>
      <c r="E40" s="2" t="str">
        <f aca="false">Settings!$B$4</f>
        <v>06:30</v>
      </c>
      <c r="F40" s="2" t="s">
        <v>321</v>
      </c>
      <c r="G40" s="2" t="s">
        <v>22</v>
      </c>
      <c r="H40" s="2" t="s">
        <v>23</v>
      </c>
      <c r="I40" s="2" t="s">
        <v>24</v>
      </c>
      <c r="J40" s="2" t="s">
        <v>322</v>
      </c>
      <c r="K40" s="2" t="s">
        <v>323</v>
      </c>
      <c r="L40" s="2" t="s">
        <v>82</v>
      </c>
      <c r="M40" s="2" t="s">
        <v>324</v>
      </c>
      <c r="N40" s="2" t="s">
        <v>325</v>
      </c>
      <c r="O40" s="2" t="s">
        <v>103</v>
      </c>
      <c r="P40" s="2" t="s">
        <v>62</v>
      </c>
      <c r="Q40" s="2" t="s">
        <v>63</v>
      </c>
      <c r="R40" s="2" t="s">
        <v>326</v>
      </c>
      <c r="S40" s="2" t="s">
        <v>87</v>
      </c>
      <c r="T40" s="2" t="s">
        <v>35</v>
      </c>
    </row>
    <row r="41" customFormat="false" ht="23.85" hidden="false" customHeight="false" outlineLevel="0" collapsed="false">
      <c r="A41" s="2" t="n">
        <v>20</v>
      </c>
      <c r="B41" s="3" t="n">
        <f aca="false">Settings!$B$3+A41-1</f>
        <v>46333</v>
      </c>
      <c r="C41" s="2" t="str">
        <f aca="false">TEXT(B41,"ddd")</f>
        <v>Sat</v>
      </c>
      <c r="D41" s="2" t="s">
        <v>36</v>
      </c>
      <c r="E41" s="2" t="str">
        <f aca="false">Settings!$B$5</f>
        <v>18:30</v>
      </c>
      <c r="F41" s="2" t="s">
        <v>327</v>
      </c>
      <c r="G41" s="2" t="s">
        <v>22</v>
      </c>
      <c r="H41" s="2" t="s">
        <v>38</v>
      </c>
      <c r="I41" s="2" t="s">
        <v>24</v>
      </c>
      <c r="J41" s="2" t="s">
        <v>328</v>
      </c>
      <c r="K41" s="2" t="s">
        <v>329</v>
      </c>
      <c r="L41" s="2" t="s">
        <v>183</v>
      </c>
      <c r="M41" s="2" t="s">
        <v>330</v>
      </c>
      <c r="N41" s="2" t="s">
        <v>331</v>
      </c>
      <c r="O41" s="2" t="s">
        <v>332</v>
      </c>
      <c r="P41" s="2" t="s">
        <v>44</v>
      </c>
      <c r="Q41" s="2" t="s">
        <v>45</v>
      </c>
      <c r="R41" s="2" t="s">
        <v>333</v>
      </c>
      <c r="S41" s="2" t="s">
        <v>188</v>
      </c>
      <c r="T41" s="2" t="s">
        <v>35</v>
      </c>
    </row>
    <row r="42" customFormat="false" ht="23.85" hidden="false" customHeight="false" outlineLevel="0" collapsed="false">
      <c r="A42" s="2" t="n">
        <v>21</v>
      </c>
      <c r="B42" s="3" t="n">
        <f aca="false">Settings!$B$3+A42-1</f>
        <v>46334</v>
      </c>
      <c r="C42" s="2" t="str">
        <f aca="false">TEXT(B42,"ddd")</f>
        <v>Sun</v>
      </c>
      <c r="D42" s="2" t="s">
        <v>20</v>
      </c>
      <c r="E42" s="2" t="str">
        <f aca="false">Settings!$B$4</f>
        <v>06:30</v>
      </c>
      <c r="F42" s="2" t="s">
        <v>334</v>
      </c>
      <c r="G42" s="2" t="s">
        <v>22</v>
      </c>
      <c r="H42" s="2" t="s">
        <v>140</v>
      </c>
      <c r="I42" s="2" t="s">
        <v>141</v>
      </c>
      <c r="J42" s="2" t="s">
        <v>335</v>
      </c>
      <c r="K42" s="2" t="s">
        <v>143</v>
      </c>
      <c r="L42" s="2" t="s">
        <v>144</v>
      </c>
      <c r="M42" s="2" t="s">
        <v>336</v>
      </c>
      <c r="N42" s="2" t="s">
        <v>146</v>
      </c>
      <c r="O42" s="2" t="s">
        <v>147</v>
      </c>
      <c r="P42" s="2" t="s">
        <v>148</v>
      </c>
      <c r="Q42" s="2" t="s">
        <v>45</v>
      </c>
      <c r="R42" s="2" t="s">
        <v>337</v>
      </c>
      <c r="S42" s="2" t="s">
        <v>150</v>
      </c>
      <c r="T42" s="2" t="s">
        <v>35</v>
      </c>
    </row>
    <row r="43" customFormat="false" ht="23.85" hidden="false" customHeight="false" outlineLevel="0" collapsed="false">
      <c r="A43" s="2" t="n">
        <v>21</v>
      </c>
      <c r="B43" s="3" t="n">
        <f aca="false">Settings!$B$3+A43-1</f>
        <v>46334</v>
      </c>
      <c r="C43" s="2" t="str">
        <f aca="false">TEXT(B43,"ddd")</f>
        <v>Sun</v>
      </c>
      <c r="D43" s="2" t="s">
        <v>36</v>
      </c>
      <c r="E43" s="2" t="str">
        <f aca="false">Settings!$B$5</f>
        <v>18:30</v>
      </c>
      <c r="F43" s="2" t="s">
        <v>338</v>
      </c>
      <c r="G43" s="2" t="s">
        <v>22</v>
      </c>
      <c r="H43" s="2" t="s">
        <v>152</v>
      </c>
      <c r="I43" s="2" t="s">
        <v>79</v>
      </c>
      <c r="J43" s="2" t="s">
        <v>339</v>
      </c>
      <c r="K43" s="2" t="s">
        <v>154</v>
      </c>
      <c r="L43" s="2" t="s">
        <v>155</v>
      </c>
      <c r="M43" s="2" t="s">
        <v>340</v>
      </c>
      <c r="N43" s="2" t="s">
        <v>341</v>
      </c>
      <c r="O43" s="2" t="s">
        <v>158</v>
      </c>
      <c r="P43" s="2" t="s">
        <v>148</v>
      </c>
      <c r="Q43" s="2" t="s">
        <v>45</v>
      </c>
      <c r="R43" s="2" t="s">
        <v>342</v>
      </c>
      <c r="S43" s="2" t="s">
        <v>160</v>
      </c>
      <c r="T43" s="2" t="s">
        <v>35</v>
      </c>
    </row>
    <row r="44" customFormat="false" ht="23.85" hidden="false" customHeight="false" outlineLevel="0" collapsed="false">
      <c r="A44" s="2" t="n">
        <v>22</v>
      </c>
      <c r="B44" s="3" t="n">
        <f aca="false">Settings!$B$3+A44-1</f>
        <v>46335</v>
      </c>
      <c r="C44" s="2" t="str">
        <f aca="false">TEXT(B44,"ddd")</f>
        <v>Mon</v>
      </c>
      <c r="D44" s="2" t="s">
        <v>20</v>
      </c>
      <c r="E44" s="2" t="str">
        <f aca="false">Settings!$B$4</f>
        <v>06:30</v>
      </c>
      <c r="F44" s="2" t="s">
        <v>343</v>
      </c>
      <c r="G44" s="2" t="s">
        <v>22</v>
      </c>
      <c r="H44" s="2" t="s">
        <v>23</v>
      </c>
      <c r="I44" s="2" t="s">
        <v>24</v>
      </c>
      <c r="J44" s="2" t="s">
        <v>344</v>
      </c>
      <c r="K44" s="2" t="s">
        <v>345</v>
      </c>
      <c r="L44" s="2" t="s">
        <v>91</v>
      </c>
      <c r="M44" s="2" t="s">
        <v>346</v>
      </c>
      <c r="N44" s="2" t="s">
        <v>347</v>
      </c>
      <c r="O44" s="2" t="s">
        <v>348</v>
      </c>
      <c r="P44" s="2" t="s">
        <v>62</v>
      </c>
      <c r="Q44" s="2" t="s">
        <v>63</v>
      </c>
      <c r="R44" s="2" t="s">
        <v>349</v>
      </c>
      <c r="S44" s="2" t="s">
        <v>96</v>
      </c>
      <c r="T44" s="2" t="s">
        <v>35</v>
      </c>
    </row>
    <row r="45" customFormat="false" ht="23.85" hidden="false" customHeight="false" outlineLevel="0" collapsed="false">
      <c r="A45" s="2" t="n">
        <v>22</v>
      </c>
      <c r="B45" s="3" t="n">
        <f aca="false">Settings!$B$3+A45-1</f>
        <v>46335</v>
      </c>
      <c r="C45" s="2" t="str">
        <f aca="false">TEXT(B45,"ddd")</f>
        <v>Mon</v>
      </c>
      <c r="D45" s="2" t="s">
        <v>36</v>
      </c>
      <c r="E45" s="2" t="str">
        <f aca="false">Settings!$B$5</f>
        <v>18:30</v>
      </c>
      <c r="F45" s="2" t="s">
        <v>350</v>
      </c>
      <c r="G45" s="2" t="s">
        <v>22</v>
      </c>
      <c r="H45" s="2" t="s">
        <v>38</v>
      </c>
      <c r="I45" s="2" t="s">
        <v>24</v>
      </c>
      <c r="J45" s="2" t="s">
        <v>351</v>
      </c>
      <c r="K45" s="2" t="s">
        <v>352</v>
      </c>
      <c r="L45" s="2" t="s">
        <v>82</v>
      </c>
      <c r="M45" s="2" t="s">
        <v>353</v>
      </c>
      <c r="N45" s="2" t="s">
        <v>354</v>
      </c>
      <c r="O45" s="2" t="s">
        <v>278</v>
      </c>
      <c r="P45" s="2" t="s">
        <v>62</v>
      </c>
      <c r="Q45" s="2" t="s">
        <v>63</v>
      </c>
      <c r="R45" s="2" t="s">
        <v>355</v>
      </c>
      <c r="S45" s="2" t="s">
        <v>87</v>
      </c>
      <c r="T45" s="2" t="s">
        <v>35</v>
      </c>
    </row>
    <row r="46" customFormat="false" ht="23.85" hidden="false" customHeight="false" outlineLevel="0" collapsed="false">
      <c r="A46" s="2" t="n">
        <v>23</v>
      </c>
      <c r="B46" s="3" t="n">
        <f aca="false">Settings!$B$3+A46-1</f>
        <v>46336</v>
      </c>
      <c r="C46" s="2" t="str">
        <f aca="false">TEXT(B46,"ddd")</f>
        <v>Tue</v>
      </c>
      <c r="D46" s="2" t="s">
        <v>20</v>
      </c>
      <c r="E46" s="2" t="str">
        <f aca="false">Settings!$B$4</f>
        <v>06:30</v>
      </c>
      <c r="F46" s="2" t="s">
        <v>356</v>
      </c>
      <c r="G46" s="2" t="s">
        <v>22</v>
      </c>
      <c r="H46" s="2" t="s">
        <v>48</v>
      </c>
      <c r="I46" s="2" t="s">
        <v>24</v>
      </c>
      <c r="J46" s="2" t="s">
        <v>357</v>
      </c>
      <c r="K46" s="2" t="s">
        <v>358</v>
      </c>
      <c r="L46" s="2" t="s">
        <v>126</v>
      </c>
      <c r="M46" s="2" t="s">
        <v>359</v>
      </c>
      <c r="N46" s="2" t="s">
        <v>360</v>
      </c>
      <c r="O46" s="2" t="s">
        <v>178</v>
      </c>
      <c r="P46" s="2" t="s">
        <v>44</v>
      </c>
      <c r="Q46" s="2" t="s">
        <v>45</v>
      </c>
      <c r="R46" s="2" t="s">
        <v>361</v>
      </c>
      <c r="S46" s="2" t="s">
        <v>131</v>
      </c>
      <c r="T46" s="2" t="s">
        <v>35</v>
      </c>
    </row>
    <row r="47" customFormat="false" ht="23.85" hidden="false" customHeight="false" outlineLevel="0" collapsed="false">
      <c r="A47" s="2" t="n">
        <v>23</v>
      </c>
      <c r="B47" s="3" t="n">
        <f aca="false">Settings!$B$3+A47-1</f>
        <v>46336</v>
      </c>
      <c r="C47" s="2" t="str">
        <f aca="false">TEXT(B47,"ddd")</f>
        <v>Tue</v>
      </c>
      <c r="D47" s="2" t="s">
        <v>36</v>
      </c>
      <c r="E47" s="2" t="str">
        <f aca="false">Settings!$B$5</f>
        <v>18:30</v>
      </c>
      <c r="F47" s="2" t="s">
        <v>362</v>
      </c>
      <c r="G47" s="2" t="s">
        <v>22</v>
      </c>
      <c r="H47" s="2" t="s">
        <v>23</v>
      </c>
      <c r="I47" s="2" t="s">
        <v>24</v>
      </c>
      <c r="J47" s="2" t="s">
        <v>363</v>
      </c>
      <c r="K47" s="2" t="s">
        <v>364</v>
      </c>
      <c r="L47" s="2" t="s">
        <v>126</v>
      </c>
      <c r="M47" s="2" t="s">
        <v>365</v>
      </c>
      <c r="N47" s="2" t="s">
        <v>366</v>
      </c>
      <c r="O47" s="2" t="s">
        <v>103</v>
      </c>
      <c r="P47" s="2" t="s">
        <v>62</v>
      </c>
      <c r="Q47" s="2" t="s">
        <v>63</v>
      </c>
      <c r="R47" s="2" t="s">
        <v>367</v>
      </c>
      <c r="S47" s="2" t="s">
        <v>131</v>
      </c>
      <c r="T47" s="2" t="s">
        <v>35</v>
      </c>
    </row>
    <row r="48" customFormat="false" ht="23.85" hidden="false" customHeight="false" outlineLevel="0" collapsed="false">
      <c r="A48" s="2" t="n">
        <v>24</v>
      </c>
      <c r="B48" s="3" t="n">
        <f aca="false">Settings!$B$3+A48-1</f>
        <v>46337</v>
      </c>
      <c r="C48" s="2" t="str">
        <f aca="false">TEXT(B48,"ddd")</f>
        <v>Wed</v>
      </c>
      <c r="D48" s="2" t="s">
        <v>20</v>
      </c>
      <c r="E48" s="2" t="str">
        <f aca="false">Settings!$B$4</f>
        <v>06:30</v>
      </c>
      <c r="F48" s="2" t="s">
        <v>368</v>
      </c>
      <c r="G48" s="2" t="s">
        <v>22</v>
      </c>
      <c r="H48" s="2" t="s">
        <v>67</v>
      </c>
      <c r="I48" s="2" t="s">
        <v>24</v>
      </c>
      <c r="J48" s="2" t="s">
        <v>369</v>
      </c>
      <c r="K48" s="2" t="s">
        <v>370</v>
      </c>
      <c r="L48" s="2" t="s">
        <v>82</v>
      </c>
      <c r="M48" s="2" t="s">
        <v>371</v>
      </c>
      <c r="N48" s="2" t="s">
        <v>372</v>
      </c>
      <c r="O48" s="2" t="s">
        <v>72</v>
      </c>
      <c r="P48" s="2" t="s">
        <v>62</v>
      </c>
      <c r="Q48" s="2" t="s">
        <v>74</v>
      </c>
      <c r="R48" s="2" t="s">
        <v>373</v>
      </c>
      <c r="S48" s="2" t="s">
        <v>287</v>
      </c>
      <c r="T48" s="2" t="s">
        <v>35</v>
      </c>
    </row>
    <row r="49" customFormat="false" ht="23.85" hidden="false" customHeight="false" outlineLevel="0" collapsed="false">
      <c r="A49" s="2" t="n">
        <v>24</v>
      </c>
      <c r="B49" s="3" t="n">
        <f aca="false">Settings!$B$3+A49-1</f>
        <v>46337</v>
      </c>
      <c r="C49" s="2" t="str">
        <f aca="false">TEXT(B49,"ddd")</f>
        <v>Wed</v>
      </c>
      <c r="D49" s="2" t="s">
        <v>36</v>
      </c>
      <c r="E49" s="2" t="str">
        <f aca="false">Settings!$B$5</f>
        <v>18:30</v>
      </c>
      <c r="F49" s="2" t="s">
        <v>374</v>
      </c>
      <c r="G49" s="2" t="s">
        <v>22</v>
      </c>
      <c r="H49" s="2" t="s">
        <v>78</v>
      </c>
      <c r="I49" s="2" t="s">
        <v>79</v>
      </c>
      <c r="J49" s="2" t="s">
        <v>375</v>
      </c>
      <c r="K49" s="2" t="s">
        <v>376</v>
      </c>
      <c r="L49" s="2" t="s">
        <v>82</v>
      </c>
      <c r="M49" s="2" t="s">
        <v>377</v>
      </c>
      <c r="N49" s="2" t="s">
        <v>378</v>
      </c>
      <c r="O49" s="2" t="s">
        <v>379</v>
      </c>
      <c r="P49" s="2" t="s">
        <v>62</v>
      </c>
      <c r="Q49" s="2" t="s">
        <v>63</v>
      </c>
      <c r="R49" s="2" t="s">
        <v>380</v>
      </c>
      <c r="S49" s="2" t="s">
        <v>87</v>
      </c>
      <c r="T49" s="2" t="s">
        <v>35</v>
      </c>
    </row>
    <row r="50" customFormat="false" ht="23.85" hidden="false" customHeight="false" outlineLevel="0" collapsed="false">
      <c r="A50" s="2" t="n">
        <v>25</v>
      </c>
      <c r="B50" s="3" t="n">
        <f aca="false">Settings!$B$3+A50-1</f>
        <v>46338</v>
      </c>
      <c r="C50" s="2" t="str">
        <f aca="false">TEXT(B50,"ddd")</f>
        <v>Thu</v>
      </c>
      <c r="D50" s="2" t="s">
        <v>20</v>
      </c>
      <c r="E50" s="2" t="str">
        <f aca="false">Settings!$B$4</f>
        <v>06:30</v>
      </c>
      <c r="F50" s="2" t="s">
        <v>381</v>
      </c>
      <c r="G50" s="2" t="s">
        <v>22</v>
      </c>
      <c r="H50" s="2" t="s">
        <v>23</v>
      </c>
      <c r="I50" s="2" t="s">
        <v>24</v>
      </c>
      <c r="J50" s="2" t="s">
        <v>382</v>
      </c>
      <c r="K50" s="2" t="s">
        <v>383</v>
      </c>
      <c r="L50" s="2" t="s">
        <v>224</v>
      </c>
      <c r="M50" s="2" t="s">
        <v>384</v>
      </c>
      <c r="N50" s="2" t="s">
        <v>385</v>
      </c>
      <c r="O50" s="2" t="s">
        <v>386</v>
      </c>
      <c r="P50" s="2" t="s">
        <v>62</v>
      </c>
      <c r="Q50" s="2" t="s">
        <v>63</v>
      </c>
      <c r="R50" s="2" t="s">
        <v>387</v>
      </c>
      <c r="S50" s="2" t="s">
        <v>228</v>
      </c>
      <c r="T50" s="2" t="s">
        <v>35</v>
      </c>
    </row>
    <row r="51" customFormat="false" ht="23.85" hidden="false" customHeight="false" outlineLevel="0" collapsed="false">
      <c r="A51" s="2" t="n">
        <v>25</v>
      </c>
      <c r="B51" s="3" t="n">
        <f aca="false">Settings!$B$3+A51-1</f>
        <v>46338</v>
      </c>
      <c r="C51" s="2" t="str">
        <f aca="false">TEXT(B51,"ddd")</f>
        <v>Thu</v>
      </c>
      <c r="D51" s="2" t="s">
        <v>36</v>
      </c>
      <c r="E51" s="2" t="str">
        <f aca="false">Settings!$B$5</f>
        <v>18:30</v>
      </c>
      <c r="F51" s="2" t="s">
        <v>388</v>
      </c>
      <c r="G51" s="2" t="s">
        <v>22</v>
      </c>
      <c r="H51" s="2" t="s">
        <v>98</v>
      </c>
      <c r="I51" s="2" t="s">
        <v>24</v>
      </c>
      <c r="J51" s="2" t="s">
        <v>389</v>
      </c>
      <c r="K51" s="2" t="s">
        <v>134</v>
      </c>
      <c r="L51" s="2" t="s">
        <v>82</v>
      </c>
      <c r="M51" s="2" t="s">
        <v>390</v>
      </c>
      <c r="N51" s="2" t="s">
        <v>102</v>
      </c>
      <c r="O51" s="2" t="s">
        <v>137</v>
      </c>
      <c r="P51" s="2" t="s">
        <v>44</v>
      </c>
      <c r="Q51" s="2" t="s">
        <v>104</v>
      </c>
      <c r="R51" s="2" t="s">
        <v>391</v>
      </c>
      <c r="S51" s="2" t="s">
        <v>106</v>
      </c>
      <c r="T51" s="2" t="s">
        <v>35</v>
      </c>
    </row>
    <row r="52" customFormat="false" ht="23.85" hidden="false" customHeight="false" outlineLevel="0" collapsed="false">
      <c r="A52" s="2" t="n">
        <v>26</v>
      </c>
      <c r="B52" s="3" t="n">
        <f aca="false">Settings!$B$3+A52-1</f>
        <v>46339</v>
      </c>
      <c r="C52" s="2" t="str">
        <f aca="false">TEXT(B52,"ddd")</f>
        <v>Fri</v>
      </c>
      <c r="D52" s="2" t="s">
        <v>20</v>
      </c>
      <c r="E52" s="2" t="str">
        <f aca="false">Settings!$B$4</f>
        <v>06:30</v>
      </c>
      <c r="F52" s="2" t="s">
        <v>392</v>
      </c>
      <c r="G52" s="2" t="s">
        <v>22</v>
      </c>
      <c r="H52" s="2" t="s">
        <v>108</v>
      </c>
      <c r="I52" s="2" t="s">
        <v>24</v>
      </c>
      <c r="J52" s="2" t="s">
        <v>393</v>
      </c>
      <c r="K52" s="2" t="s">
        <v>394</v>
      </c>
      <c r="L52" s="2" t="s">
        <v>82</v>
      </c>
      <c r="M52" s="2" t="s">
        <v>395</v>
      </c>
      <c r="N52" s="2" t="s">
        <v>396</v>
      </c>
      <c r="O52" s="2" t="s">
        <v>112</v>
      </c>
      <c r="P52" s="2" t="s">
        <v>113</v>
      </c>
      <c r="Q52" s="2" t="s">
        <v>74</v>
      </c>
      <c r="R52" s="2" t="s">
        <v>397</v>
      </c>
      <c r="S52" s="2" t="s">
        <v>313</v>
      </c>
      <c r="T52" s="2" t="s">
        <v>35</v>
      </c>
    </row>
    <row r="53" customFormat="false" ht="23.85" hidden="false" customHeight="false" outlineLevel="0" collapsed="false">
      <c r="A53" s="2" t="n">
        <v>26</v>
      </c>
      <c r="B53" s="3" t="n">
        <f aca="false">Settings!$B$3+A53-1</f>
        <v>46339</v>
      </c>
      <c r="C53" s="2" t="str">
        <f aca="false">TEXT(B53,"ddd")</f>
        <v>Fri</v>
      </c>
      <c r="D53" s="2" t="s">
        <v>36</v>
      </c>
      <c r="E53" s="2" t="str">
        <f aca="false">Settings!$B$5</f>
        <v>18:30</v>
      </c>
      <c r="F53" s="2" t="s">
        <v>398</v>
      </c>
      <c r="G53" s="2" t="s">
        <v>22</v>
      </c>
      <c r="H53" s="2" t="s">
        <v>48</v>
      </c>
      <c r="I53" s="2" t="s">
        <v>24</v>
      </c>
      <c r="J53" s="2" t="s">
        <v>399</v>
      </c>
      <c r="K53" s="2" t="s">
        <v>400</v>
      </c>
      <c r="L53" s="2" t="s">
        <v>126</v>
      </c>
      <c r="M53" s="2" t="s">
        <v>401</v>
      </c>
      <c r="N53" s="2" t="s">
        <v>402</v>
      </c>
      <c r="O53" s="2" t="s">
        <v>178</v>
      </c>
      <c r="P53" s="2" t="s">
        <v>44</v>
      </c>
      <c r="Q53" s="2" t="s">
        <v>45</v>
      </c>
      <c r="R53" s="2" t="s">
        <v>403</v>
      </c>
      <c r="S53" s="2" t="s">
        <v>131</v>
      </c>
      <c r="T53" s="2" t="s">
        <v>35</v>
      </c>
    </row>
    <row r="54" customFormat="false" ht="23.85" hidden="false" customHeight="false" outlineLevel="0" collapsed="false">
      <c r="A54" s="2" t="n">
        <v>27</v>
      </c>
      <c r="B54" s="3" t="n">
        <f aca="false">Settings!$B$3+A54-1</f>
        <v>46340</v>
      </c>
      <c r="C54" s="2" t="str">
        <f aca="false">TEXT(B54,"ddd")</f>
        <v>Sat</v>
      </c>
      <c r="D54" s="2" t="s">
        <v>20</v>
      </c>
      <c r="E54" s="2" t="str">
        <f aca="false">Settings!$B$4</f>
        <v>06:30</v>
      </c>
      <c r="F54" s="2" t="s">
        <v>404</v>
      </c>
      <c r="G54" s="2" t="s">
        <v>22</v>
      </c>
      <c r="H54" s="2" t="s">
        <v>23</v>
      </c>
      <c r="I54" s="2" t="s">
        <v>24</v>
      </c>
      <c r="J54" s="2" t="s">
        <v>405</v>
      </c>
      <c r="K54" s="2" t="s">
        <v>406</v>
      </c>
      <c r="L54" s="2" t="s">
        <v>82</v>
      </c>
      <c r="M54" s="2" t="s">
        <v>407</v>
      </c>
      <c r="N54" s="2" t="s">
        <v>408</v>
      </c>
      <c r="O54" s="2" t="s">
        <v>103</v>
      </c>
      <c r="P54" s="2" t="s">
        <v>62</v>
      </c>
      <c r="Q54" s="2" t="s">
        <v>63</v>
      </c>
      <c r="R54" s="2" t="s">
        <v>409</v>
      </c>
      <c r="S54" s="2" t="s">
        <v>87</v>
      </c>
      <c r="T54" s="2" t="s">
        <v>35</v>
      </c>
    </row>
    <row r="55" customFormat="false" ht="23.85" hidden="false" customHeight="false" outlineLevel="0" collapsed="false">
      <c r="A55" s="2" t="n">
        <v>27</v>
      </c>
      <c r="B55" s="3" t="n">
        <f aca="false">Settings!$B$3+A55-1</f>
        <v>46340</v>
      </c>
      <c r="C55" s="2" t="str">
        <f aca="false">TEXT(B55,"ddd")</f>
        <v>Sat</v>
      </c>
      <c r="D55" s="2" t="s">
        <v>36</v>
      </c>
      <c r="E55" s="2" t="str">
        <f aca="false">Settings!$B$5</f>
        <v>18:30</v>
      </c>
      <c r="F55" s="2" t="s">
        <v>410</v>
      </c>
      <c r="G55" s="2" t="s">
        <v>22</v>
      </c>
      <c r="H55" s="2" t="s">
        <v>38</v>
      </c>
      <c r="I55" s="2" t="s">
        <v>24</v>
      </c>
      <c r="J55" s="2" t="s">
        <v>411</v>
      </c>
      <c r="K55" s="2" t="s">
        <v>412</v>
      </c>
      <c r="L55" s="2" t="s">
        <v>82</v>
      </c>
      <c r="M55" s="2" t="s">
        <v>413</v>
      </c>
      <c r="N55" s="2" t="s">
        <v>414</v>
      </c>
      <c r="O55" s="2" t="s">
        <v>415</v>
      </c>
      <c r="P55" s="2" t="s">
        <v>44</v>
      </c>
      <c r="Q55" s="2" t="s">
        <v>45</v>
      </c>
      <c r="R55" s="2" t="s">
        <v>416</v>
      </c>
      <c r="S55" s="2" t="s">
        <v>87</v>
      </c>
      <c r="T55" s="2" t="s">
        <v>35</v>
      </c>
    </row>
    <row r="56" customFormat="false" ht="23.85" hidden="false" customHeight="false" outlineLevel="0" collapsed="false">
      <c r="A56" s="2" t="n">
        <v>28</v>
      </c>
      <c r="B56" s="3" t="n">
        <f aca="false">Settings!$B$3+A56-1</f>
        <v>46341</v>
      </c>
      <c r="C56" s="2" t="str">
        <f aca="false">TEXT(B56,"ddd")</f>
        <v>Sun</v>
      </c>
      <c r="D56" s="2" t="s">
        <v>20</v>
      </c>
      <c r="E56" s="2" t="str">
        <f aca="false">Settings!$B$4</f>
        <v>06:30</v>
      </c>
      <c r="F56" s="2" t="s">
        <v>417</v>
      </c>
      <c r="G56" s="2" t="s">
        <v>22</v>
      </c>
      <c r="H56" s="2" t="s">
        <v>140</v>
      </c>
      <c r="I56" s="2" t="s">
        <v>141</v>
      </c>
      <c r="J56" s="2" t="s">
        <v>418</v>
      </c>
      <c r="K56" s="2" t="s">
        <v>143</v>
      </c>
      <c r="L56" s="2" t="s">
        <v>144</v>
      </c>
      <c r="M56" s="2" t="s">
        <v>419</v>
      </c>
      <c r="N56" s="2" t="s">
        <v>146</v>
      </c>
      <c r="O56" s="2" t="s">
        <v>147</v>
      </c>
      <c r="P56" s="2" t="s">
        <v>148</v>
      </c>
      <c r="Q56" s="2" t="s">
        <v>45</v>
      </c>
      <c r="R56" s="2" t="s">
        <v>420</v>
      </c>
      <c r="S56" s="2" t="s">
        <v>150</v>
      </c>
      <c r="T56" s="2" t="s">
        <v>35</v>
      </c>
    </row>
    <row r="57" customFormat="false" ht="23.85" hidden="false" customHeight="false" outlineLevel="0" collapsed="false">
      <c r="A57" s="2" t="n">
        <v>28</v>
      </c>
      <c r="B57" s="3" t="n">
        <f aca="false">Settings!$B$3+A57-1</f>
        <v>46341</v>
      </c>
      <c r="C57" s="2" t="str">
        <f aca="false">TEXT(B57,"ddd")</f>
        <v>Sun</v>
      </c>
      <c r="D57" s="2" t="s">
        <v>36</v>
      </c>
      <c r="E57" s="2" t="str">
        <f aca="false">Settings!$B$5</f>
        <v>18:30</v>
      </c>
      <c r="F57" s="2" t="s">
        <v>421</v>
      </c>
      <c r="G57" s="2" t="s">
        <v>22</v>
      </c>
      <c r="H57" s="2" t="s">
        <v>48</v>
      </c>
      <c r="I57" s="2" t="s">
        <v>24</v>
      </c>
      <c r="J57" s="2" t="s">
        <v>422</v>
      </c>
      <c r="K57" s="2" t="s">
        <v>423</v>
      </c>
      <c r="L57" s="2" t="s">
        <v>126</v>
      </c>
      <c r="M57" s="2" t="s">
        <v>424</v>
      </c>
      <c r="N57" s="2" t="s">
        <v>425</v>
      </c>
      <c r="O57" s="2" t="s">
        <v>121</v>
      </c>
      <c r="P57" s="2" t="s">
        <v>44</v>
      </c>
      <c r="Q57" s="2" t="s">
        <v>45</v>
      </c>
      <c r="R57" s="2" t="s">
        <v>426</v>
      </c>
      <c r="S57" s="2" t="s">
        <v>131</v>
      </c>
      <c r="T57" s="2" t="s">
        <v>35</v>
      </c>
    </row>
    <row r="58" customFormat="false" ht="23.85" hidden="false" customHeight="false" outlineLevel="0" collapsed="false">
      <c r="A58" s="2" t="n">
        <v>29</v>
      </c>
      <c r="B58" s="3" t="n">
        <f aca="false">Settings!$B$3+A58-1</f>
        <v>46342</v>
      </c>
      <c r="C58" s="2" t="str">
        <f aca="false">TEXT(B58,"ddd")</f>
        <v>Mon</v>
      </c>
      <c r="D58" s="2" t="s">
        <v>20</v>
      </c>
      <c r="E58" s="2" t="str">
        <f aca="false">Settings!$B$4</f>
        <v>06:30</v>
      </c>
      <c r="F58" s="2" t="s">
        <v>427</v>
      </c>
      <c r="G58" s="2" t="s">
        <v>22</v>
      </c>
      <c r="H58" s="2" t="s">
        <v>23</v>
      </c>
      <c r="I58" s="2" t="s">
        <v>24</v>
      </c>
      <c r="J58" s="2" t="s">
        <v>428</v>
      </c>
      <c r="K58" s="2" t="s">
        <v>429</v>
      </c>
      <c r="L58" s="2" t="s">
        <v>58</v>
      </c>
      <c r="M58" s="2" t="s">
        <v>430</v>
      </c>
      <c r="N58" s="2" t="s">
        <v>431</v>
      </c>
      <c r="O58" s="2" t="s">
        <v>432</v>
      </c>
      <c r="P58" s="2" t="s">
        <v>62</v>
      </c>
      <c r="Q58" s="2" t="s">
        <v>63</v>
      </c>
      <c r="R58" s="2" t="s">
        <v>433</v>
      </c>
      <c r="S58" s="2" t="s">
        <v>65</v>
      </c>
      <c r="T58" s="2" t="s">
        <v>35</v>
      </c>
    </row>
    <row r="59" customFormat="false" ht="23.85" hidden="false" customHeight="false" outlineLevel="0" collapsed="false">
      <c r="A59" s="2" t="n">
        <v>29</v>
      </c>
      <c r="B59" s="3" t="n">
        <f aca="false">Settings!$B$3+A59-1</f>
        <v>46342</v>
      </c>
      <c r="C59" s="2" t="str">
        <f aca="false">TEXT(B59,"ddd")</f>
        <v>Mon</v>
      </c>
      <c r="D59" s="2" t="s">
        <v>36</v>
      </c>
      <c r="E59" s="2" t="str">
        <f aca="false">Settings!$B$5</f>
        <v>18:30</v>
      </c>
      <c r="F59" s="2" t="s">
        <v>434</v>
      </c>
      <c r="G59" s="2" t="s">
        <v>22</v>
      </c>
      <c r="H59" s="2" t="s">
        <v>38</v>
      </c>
      <c r="I59" s="2" t="s">
        <v>24</v>
      </c>
      <c r="J59" s="2" t="s">
        <v>435</v>
      </c>
      <c r="K59" s="2" t="s">
        <v>436</v>
      </c>
      <c r="L59" s="2" t="s">
        <v>58</v>
      </c>
      <c r="M59" s="2" t="s">
        <v>437</v>
      </c>
      <c r="N59" s="2" t="s">
        <v>438</v>
      </c>
      <c r="O59" s="2" t="s">
        <v>439</v>
      </c>
      <c r="P59" s="2" t="s">
        <v>44</v>
      </c>
      <c r="Q59" s="2" t="s">
        <v>45</v>
      </c>
      <c r="R59" s="2" t="s">
        <v>440</v>
      </c>
      <c r="S59" s="2" t="s">
        <v>65</v>
      </c>
      <c r="T59" s="2" t="s">
        <v>35</v>
      </c>
    </row>
    <row r="60" customFormat="false" ht="23.85" hidden="false" customHeight="false" outlineLevel="0" collapsed="false">
      <c r="A60" s="2" t="n">
        <v>30</v>
      </c>
      <c r="B60" s="3" t="n">
        <f aca="false">Settings!$B$3+A60-1</f>
        <v>46343</v>
      </c>
      <c r="C60" s="2" t="str">
        <f aca="false">TEXT(B60,"ddd")</f>
        <v>Tue</v>
      </c>
      <c r="D60" s="2" t="s">
        <v>20</v>
      </c>
      <c r="E60" s="2" t="str">
        <f aca="false">Settings!$B$4</f>
        <v>06:30</v>
      </c>
      <c r="F60" s="2" t="s">
        <v>441</v>
      </c>
      <c r="G60" s="2" t="s">
        <v>22</v>
      </c>
      <c r="H60" s="2" t="s">
        <v>48</v>
      </c>
      <c r="I60" s="2" t="s">
        <v>24</v>
      </c>
      <c r="J60" s="2" t="s">
        <v>442</v>
      </c>
      <c r="K60" s="2" t="s">
        <v>443</v>
      </c>
      <c r="L60" s="2" t="s">
        <v>155</v>
      </c>
      <c r="M60" s="2" t="s">
        <v>444</v>
      </c>
      <c r="N60" s="2" t="s">
        <v>445</v>
      </c>
      <c r="O60" s="2" t="s">
        <v>446</v>
      </c>
      <c r="P60" s="2" t="s">
        <v>62</v>
      </c>
      <c r="Q60" s="2" t="s">
        <v>447</v>
      </c>
      <c r="R60" s="2" t="s">
        <v>448</v>
      </c>
      <c r="S60" s="2" t="s">
        <v>449</v>
      </c>
      <c r="T60" s="2" t="s">
        <v>35</v>
      </c>
    </row>
    <row r="61" customFormat="false" ht="23.85" hidden="false" customHeight="false" outlineLevel="0" collapsed="false">
      <c r="A61" s="2" t="n">
        <v>30</v>
      </c>
      <c r="B61" s="3" t="n">
        <f aca="false">Settings!$B$3+A61-1</f>
        <v>46343</v>
      </c>
      <c r="C61" s="2" t="str">
        <f aca="false">TEXT(B61,"ddd")</f>
        <v>Tue</v>
      </c>
      <c r="D61" s="2" t="s">
        <v>36</v>
      </c>
      <c r="E61" s="2" t="str">
        <f aca="false">Settings!$B$5</f>
        <v>18:30</v>
      </c>
      <c r="F61" s="2" t="s">
        <v>450</v>
      </c>
      <c r="G61" s="2" t="s">
        <v>22</v>
      </c>
      <c r="H61" s="2" t="s">
        <v>23</v>
      </c>
      <c r="I61" s="2" t="s">
        <v>24</v>
      </c>
      <c r="J61" s="2" t="s">
        <v>451</v>
      </c>
      <c r="K61" s="2" t="s">
        <v>452</v>
      </c>
      <c r="L61" s="2" t="s">
        <v>183</v>
      </c>
      <c r="M61" s="2" t="s">
        <v>453</v>
      </c>
      <c r="N61" s="2" t="s">
        <v>454</v>
      </c>
      <c r="O61" s="2" t="s">
        <v>455</v>
      </c>
      <c r="P61" s="2" t="s">
        <v>62</v>
      </c>
      <c r="Q61" s="2" t="s">
        <v>63</v>
      </c>
      <c r="R61" s="2" t="s">
        <v>456</v>
      </c>
      <c r="S61" s="2" t="s">
        <v>188</v>
      </c>
      <c r="T61" s="2" t="s">
        <v>35</v>
      </c>
    </row>
    <row r="62" customFormat="false" ht="35.05" hidden="false" customHeight="false" outlineLevel="0" collapsed="false">
      <c r="A62" s="2" t="n">
        <v>31</v>
      </c>
      <c r="B62" s="3" t="n">
        <f aca="false">Settings!$B$3+A62-1</f>
        <v>46344</v>
      </c>
      <c r="C62" s="2" t="str">
        <f aca="false">TEXT(B62,"ddd")</f>
        <v>Wed</v>
      </c>
      <c r="D62" s="2" t="s">
        <v>20</v>
      </c>
      <c r="E62" s="2" t="str">
        <f aca="false">Settings!$B$4</f>
        <v>06:30</v>
      </c>
      <c r="F62" s="2" t="s">
        <v>457</v>
      </c>
      <c r="G62" s="2" t="s">
        <v>458</v>
      </c>
      <c r="H62" s="2" t="s">
        <v>67</v>
      </c>
      <c r="I62" s="2" t="s">
        <v>24</v>
      </c>
      <c r="J62" s="2" t="s">
        <v>459</v>
      </c>
      <c r="K62" s="2" t="s">
        <v>460</v>
      </c>
      <c r="L62" s="2" t="s">
        <v>91</v>
      </c>
      <c r="M62" s="2" t="s">
        <v>461</v>
      </c>
      <c r="N62" s="2" t="s">
        <v>462</v>
      </c>
      <c r="O62" s="2" t="s">
        <v>72</v>
      </c>
      <c r="P62" s="2" t="s">
        <v>285</v>
      </c>
      <c r="Q62" s="2" t="s">
        <v>74</v>
      </c>
      <c r="R62" s="2" t="s">
        <v>463</v>
      </c>
      <c r="S62" s="2" t="s">
        <v>464</v>
      </c>
      <c r="T62" s="2" t="s">
        <v>35</v>
      </c>
    </row>
    <row r="63" customFormat="false" ht="23.85" hidden="false" customHeight="false" outlineLevel="0" collapsed="false">
      <c r="A63" s="2" t="n">
        <v>31</v>
      </c>
      <c r="B63" s="3" t="n">
        <f aca="false">Settings!$B$3+A63-1</f>
        <v>46344</v>
      </c>
      <c r="C63" s="2" t="str">
        <f aca="false">TEXT(B63,"ddd")</f>
        <v>Wed</v>
      </c>
      <c r="D63" s="2" t="s">
        <v>36</v>
      </c>
      <c r="E63" s="2" t="str">
        <f aca="false">Settings!$B$5</f>
        <v>18:30</v>
      </c>
      <c r="F63" s="2" t="s">
        <v>465</v>
      </c>
      <c r="G63" s="2" t="s">
        <v>458</v>
      </c>
      <c r="H63" s="2" t="s">
        <v>78</v>
      </c>
      <c r="I63" s="2" t="s">
        <v>79</v>
      </c>
      <c r="J63" s="2" t="s">
        <v>466</v>
      </c>
      <c r="K63" s="2" t="s">
        <v>467</v>
      </c>
      <c r="L63" s="2" t="s">
        <v>58</v>
      </c>
      <c r="M63" s="2" t="s">
        <v>468</v>
      </c>
      <c r="N63" s="2" t="s">
        <v>469</v>
      </c>
      <c r="O63" s="2" t="s">
        <v>470</v>
      </c>
      <c r="P63" s="2" t="s">
        <v>62</v>
      </c>
      <c r="Q63" s="2" t="s">
        <v>63</v>
      </c>
      <c r="R63" s="2" t="s">
        <v>471</v>
      </c>
      <c r="S63" s="2" t="s">
        <v>65</v>
      </c>
      <c r="T63" s="2" t="s">
        <v>35</v>
      </c>
    </row>
    <row r="64" customFormat="false" ht="23.85" hidden="false" customHeight="false" outlineLevel="0" collapsed="false">
      <c r="A64" s="2" t="n">
        <v>32</v>
      </c>
      <c r="B64" s="3" t="n">
        <f aca="false">Settings!$B$3+A64-1</f>
        <v>46345</v>
      </c>
      <c r="C64" s="2" t="str">
        <f aca="false">TEXT(B64,"ddd")</f>
        <v>Thu</v>
      </c>
      <c r="D64" s="2" t="s">
        <v>20</v>
      </c>
      <c r="E64" s="2" t="str">
        <f aca="false">Settings!$B$4</f>
        <v>06:30</v>
      </c>
      <c r="F64" s="2" t="s">
        <v>472</v>
      </c>
      <c r="G64" s="2" t="s">
        <v>458</v>
      </c>
      <c r="H64" s="2" t="s">
        <v>23</v>
      </c>
      <c r="I64" s="2" t="s">
        <v>24</v>
      </c>
      <c r="J64" s="2" t="s">
        <v>473</v>
      </c>
      <c r="K64" s="2" t="s">
        <v>474</v>
      </c>
      <c r="L64" s="2" t="s">
        <v>27</v>
      </c>
      <c r="M64" s="2" t="s">
        <v>475</v>
      </c>
      <c r="N64" s="2" t="s">
        <v>476</v>
      </c>
      <c r="O64" s="2" t="s">
        <v>477</v>
      </c>
      <c r="P64" s="2" t="s">
        <v>62</v>
      </c>
      <c r="Q64" s="2" t="s">
        <v>63</v>
      </c>
      <c r="R64" s="2" t="s">
        <v>478</v>
      </c>
      <c r="S64" s="2" t="s">
        <v>34</v>
      </c>
      <c r="T64" s="2" t="s">
        <v>35</v>
      </c>
    </row>
    <row r="65" customFormat="false" ht="23.85" hidden="false" customHeight="false" outlineLevel="0" collapsed="false">
      <c r="A65" s="2" t="n">
        <v>32</v>
      </c>
      <c r="B65" s="3" t="n">
        <f aca="false">Settings!$B$3+A65-1</f>
        <v>46345</v>
      </c>
      <c r="C65" s="2" t="str">
        <f aca="false">TEXT(B65,"ddd")</f>
        <v>Thu</v>
      </c>
      <c r="D65" s="2" t="s">
        <v>36</v>
      </c>
      <c r="E65" s="2" t="str">
        <f aca="false">Settings!$B$5</f>
        <v>18:30</v>
      </c>
      <c r="F65" s="2" t="s">
        <v>479</v>
      </c>
      <c r="G65" s="2" t="s">
        <v>458</v>
      </c>
      <c r="H65" s="2" t="s">
        <v>98</v>
      </c>
      <c r="I65" s="2" t="s">
        <v>24</v>
      </c>
      <c r="J65" s="2" t="s">
        <v>480</v>
      </c>
      <c r="K65" s="2" t="s">
        <v>481</v>
      </c>
      <c r="L65" s="2" t="s">
        <v>82</v>
      </c>
      <c r="M65" s="2" t="s">
        <v>482</v>
      </c>
      <c r="N65" s="2" t="s">
        <v>102</v>
      </c>
      <c r="O65" s="2" t="s">
        <v>483</v>
      </c>
      <c r="P65" s="2" t="s">
        <v>62</v>
      </c>
      <c r="Q65" s="2" t="s">
        <v>104</v>
      </c>
      <c r="R65" s="2" t="s">
        <v>484</v>
      </c>
      <c r="S65" s="2" t="s">
        <v>106</v>
      </c>
      <c r="T65" s="2" t="s">
        <v>35</v>
      </c>
    </row>
    <row r="66" customFormat="false" ht="23.85" hidden="false" customHeight="false" outlineLevel="0" collapsed="false">
      <c r="A66" s="2" t="n">
        <v>33</v>
      </c>
      <c r="B66" s="3" t="n">
        <f aca="false">Settings!$B$3+A66-1</f>
        <v>46346</v>
      </c>
      <c r="C66" s="2" t="str">
        <f aca="false">TEXT(B66,"ddd")</f>
        <v>Fri</v>
      </c>
      <c r="D66" s="2" t="s">
        <v>20</v>
      </c>
      <c r="E66" s="2" t="str">
        <f aca="false">Settings!$B$4</f>
        <v>06:30</v>
      </c>
      <c r="F66" s="2" t="s">
        <v>485</v>
      </c>
      <c r="G66" s="2" t="s">
        <v>458</v>
      </c>
      <c r="H66" s="2" t="s">
        <v>108</v>
      </c>
      <c r="I66" s="2" t="s">
        <v>24</v>
      </c>
      <c r="J66" s="2" t="s">
        <v>486</v>
      </c>
      <c r="K66" s="2" t="s">
        <v>487</v>
      </c>
      <c r="L66" s="2" t="s">
        <v>82</v>
      </c>
      <c r="M66" s="2" t="s">
        <v>488</v>
      </c>
      <c r="N66" s="2" t="s">
        <v>489</v>
      </c>
      <c r="O66" s="2" t="s">
        <v>112</v>
      </c>
      <c r="P66" s="2" t="s">
        <v>113</v>
      </c>
      <c r="Q66" s="2" t="s">
        <v>74</v>
      </c>
      <c r="R66" s="2" t="s">
        <v>490</v>
      </c>
      <c r="S66" s="2" t="s">
        <v>313</v>
      </c>
      <c r="T66" s="2" t="s">
        <v>35</v>
      </c>
    </row>
    <row r="67" customFormat="false" ht="23.85" hidden="false" customHeight="false" outlineLevel="0" collapsed="false">
      <c r="A67" s="2" t="n">
        <v>33</v>
      </c>
      <c r="B67" s="3" t="n">
        <f aca="false">Settings!$B$3+A67-1</f>
        <v>46346</v>
      </c>
      <c r="C67" s="2" t="str">
        <f aca="false">TEXT(B67,"ddd")</f>
        <v>Fri</v>
      </c>
      <c r="D67" s="2" t="s">
        <v>36</v>
      </c>
      <c r="E67" s="2" t="str">
        <f aca="false">Settings!$B$5</f>
        <v>18:30</v>
      </c>
      <c r="F67" s="2" t="s">
        <v>491</v>
      </c>
      <c r="G67" s="2" t="s">
        <v>458</v>
      </c>
      <c r="H67" s="2" t="s">
        <v>48</v>
      </c>
      <c r="I67" s="2" t="s">
        <v>24</v>
      </c>
      <c r="J67" s="2" t="s">
        <v>442</v>
      </c>
      <c r="K67" s="2" t="s">
        <v>443</v>
      </c>
      <c r="L67" s="2" t="s">
        <v>155</v>
      </c>
      <c r="M67" s="2" t="s">
        <v>444</v>
      </c>
      <c r="N67" s="2" t="s">
        <v>445</v>
      </c>
      <c r="O67" s="2" t="s">
        <v>446</v>
      </c>
      <c r="P67" s="2" t="s">
        <v>62</v>
      </c>
      <c r="Q67" s="2" t="s">
        <v>447</v>
      </c>
      <c r="R67" s="2" t="s">
        <v>448</v>
      </c>
      <c r="S67" s="2" t="s">
        <v>449</v>
      </c>
      <c r="T67" s="2" t="s">
        <v>35</v>
      </c>
    </row>
    <row r="68" customFormat="false" ht="23.85" hidden="false" customHeight="false" outlineLevel="0" collapsed="false">
      <c r="A68" s="2" t="n">
        <v>34</v>
      </c>
      <c r="B68" s="3" t="n">
        <f aca="false">Settings!$B$3+A68-1</f>
        <v>46347</v>
      </c>
      <c r="C68" s="2" t="str">
        <f aca="false">TEXT(B68,"ddd")</f>
        <v>Sat</v>
      </c>
      <c r="D68" s="2" t="s">
        <v>20</v>
      </c>
      <c r="E68" s="2" t="str">
        <f aca="false">Settings!$B$4</f>
        <v>06:30</v>
      </c>
      <c r="F68" s="2" t="s">
        <v>492</v>
      </c>
      <c r="G68" s="2" t="s">
        <v>458</v>
      </c>
      <c r="H68" s="2" t="s">
        <v>23</v>
      </c>
      <c r="I68" s="2" t="s">
        <v>24</v>
      </c>
      <c r="J68" s="2" t="s">
        <v>493</v>
      </c>
      <c r="K68" s="2" t="s">
        <v>494</v>
      </c>
      <c r="L68" s="2" t="s">
        <v>82</v>
      </c>
      <c r="M68" s="2" t="s">
        <v>495</v>
      </c>
      <c r="N68" s="2" t="s">
        <v>496</v>
      </c>
      <c r="O68" s="2" t="s">
        <v>497</v>
      </c>
      <c r="P68" s="2" t="s">
        <v>62</v>
      </c>
      <c r="Q68" s="2" t="s">
        <v>63</v>
      </c>
      <c r="R68" s="2" t="s">
        <v>498</v>
      </c>
      <c r="S68" s="2" t="s">
        <v>87</v>
      </c>
      <c r="T68" s="2" t="s">
        <v>35</v>
      </c>
    </row>
    <row r="69" customFormat="false" ht="23.85" hidden="false" customHeight="false" outlineLevel="0" collapsed="false">
      <c r="A69" s="2" t="n">
        <v>34</v>
      </c>
      <c r="B69" s="3" t="n">
        <f aca="false">Settings!$B$3+A69-1</f>
        <v>46347</v>
      </c>
      <c r="C69" s="2" t="str">
        <f aca="false">TEXT(B69,"ddd")</f>
        <v>Sat</v>
      </c>
      <c r="D69" s="2" t="s">
        <v>36</v>
      </c>
      <c r="E69" s="2" t="str">
        <f aca="false">Settings!$B$5</f>
        <v>18:30</v>
      </c>
      <c r="F69" s="2" t="s">
        <v>499</v>
      </c>
      <c r="G69" s="2" t="s">
        <v>458</v>
      </c>
      <c r="H69" s="2" t="s">
        <v>38</v>
      </c>
      <c r="I69" s="2" t="s">
        <v>24</v>
      </c>
      <c r="J69" s="2" t="s">
        <v>500</v>
      </c>
      <c r="K69" s="2" t="s">
        <v>501</v>
      </c>
      <c r="L69" s="2" t="s">
        <v>91</v>
      </c>
      <c r="M69" s="2" t="s">
        <v>502</v>
      </c>
      <c r="N69" s="2" t="s">
        <v>503</v>
      </c>
      <c r="O69" s="2" t="s">
        <v>504</v>
      </c>
      <c r="P69" s="2" t="s">
        <v>44</v>
      </c>
      <c r="Q69" s="2" t="s">
        <v>45</v>
      </c>
      <c r="R69" s="2" t="s">
        <v>505</v>
      </c>
      <c r="S69" s="2" t="s">
        <v>96</v>
      </c>
      <c r="T69" s="2" t="s">
        <v>35</v>
      </c>
    </row>
    <row r="70" customFormat="false" ht="23.85" hidden="false" customHeight="false" outlineLevel="0" collapsed="false">
      <c r="A70" s="2" t="n">
        <v>35</v>
      </c>
      <c r="B70" s="3" t="n">
        <f aca="false">Settings!$B$3+A70-1</f>
        <v>46348</v>
      </c>
      <c r="C70" s="2" t="str">
        <f aca="false">TEXT(B70,"ddd")</f>
        <v>Sun</v>
      </c>
      <c r="D70" s="2" t="s">
        <v>20</v>
      </c>
      <c r="E70" s="2" t="str">
        <f aca="false">Settings!$B$4</f>
        <v>06:30</v>
      </c>
      <c r="F70" s="2" t="s">
        <v>506</v>
      </c>
      <c r="G70" s="2" t="s">
        <v>458</v>
      </c>
      <c r="H70" s="2" t="s">
        <v>140</v>
      </c>
      <c r="I70" s="2" t="s">
        <v>141</v>
      </c>
      <c r="J70" s="2" t="s">
        <v>507</v>
      </c>
      <c r="K70" s="2" t="s">
        <v>143</v>
      </c>
      <c r="L70" s="2" t="s">
        <v>144</v>
      </c>
      <c r="M70" s="2" t="s">
        <v>508</v>
      </c>
      <c r="N70" s="2" t="s">
        <v>146</v>
      </c>
      <c r="O70" s="2" t="s">
        <v>147</v>
      </c>
      <c r="P70" s="2" t="s">
        <v>148</v>
      </c>
      <c r="Q70" s="2" t="s">
        <v>45</v>
      </c>
      <c r="R70" s="2" t="s">
        <v>509</v>
      </c>
      <c r="S70" s="2" t="s">
        <v>150</v>
      </c>
      <c r="T70" s="2" t="s">
        <v>35</v>
      </c>
    </row>
    <row r="71" customFormat="false" ht="23.85" hidden="false" customHeight="false" outlineLevel="0" collapsed="false">
      <c r="A71" s="2" t="n">
        <v>35</v>
      </c>
      <c r="B71" s="3" t="n">
        <f aca="false">Settings!$B$3+A71-1</f>
        <v>46348</v>
      </c>
      <c r="C71" s="2" t="str">
        <f aca="false">TEXT(B71,"ddd")</f>
        <v>Sun</v>
      </c>
      <c r="D71" s="2" t="s">
        <v>36</v>
      </c>
      <c r="E71" s="2" t="str">
        <f aca="false">Settings!$B$5</f>
        <v>18:30</v>
      </c>
      <c r="F71" s="2" t="s">
        <v>510</v>
      </c>
      <c r="G71" s="2" t="s">
        <v>458</v>
      </c>
      <c r="H71" s="2" t="s">
        <v>152</v>
      </c>
      <c r="I71" s="2" t="s">
        <v>79</v>
      </c>
      <c r="J71" s="2" t="s">
        <v>511</v>
      </c>
      <c r="K71" s="2" t="s">
        <v>154</v>
      </c>
      <c r="L71" s="2" t="s">
        <v>155</v>
      </c>
      <c r="M71" s="2" t="s">
        <v>512</v>
      </c>
      <c r="N71" s="2" t="s">
        <v>513</v>
      </c>
      <c r="O71" s="2" t="s">
        <v>158</v>
      </c>
      <c r="P71" s="2" t="s">
        <v>148</v>
      </c>
      <c r="Q71" s="2" t="s">
        <v>45</v>
      </c>
      <c r="R71" s="2" t="s">
        <v>514</v>
      </c>
      <c r="S71" s="2" t="s">
        <v>160</v>
      </c>
      <c r="T71" s="2" t="s">
        <v>35</v>
      </c>
    </row>
    <row r="72" customFormat="false" ht="23.85" hidden="false" customHeight="false" outlineLevel="0" collapsed="false">
      <c r="A72" s="2" t="n">
        <v>36</v>
      </c>
      <c r="B72" s="3" t="n">
        <f aca="false">Settings!$B$3+A72-1</f>
        <v>46349</v>
      </c>
      <c r="C72" s="2" t="str">
        <f aca="false">TEXT(B72,"ddd")</f>
        <v>Mon</v>
      </c>
      <c r="D72" s="2" t="s">
        <v>20</v>
      </c>
      <c r="E72" s="2" t="str">
        <f aca="false">Settings!$B$4</f>
        <v>06:30</v>
      </c>
      <c r="F72" s="2" t="s">
        <v>515</v>
      </c>
      <c r="G72" s="2" t="s">
        <v>458</v>
      </c>
      <c r="H72" s="2" t="s">
        <v>23</v>
      </c>
      <c r="I72" s="2" t="s">
        <v>24</v>
      </c>
      <c r="J72" s="2" t="s">
        <v>516</v>
      </c>
      <c r="K72" s="2" t="s">
        <v>517</v>
      </c>
      <c r="L72" s="2" t="s">
        <v>126</v>
      </c>
      <c r="M72" s="2" t="s">
        <v>518</v>
      </c>
      <c r="N72" s="2" t="s">
        <v>519</v>
      </c>
      <c r="O72" s="2" t="s">
        <v>103</v>
      </c>
      <c r="P72" s="2" t="s">
        <v>62</v>
      </c>
      <c r="Q72" s="2" t="s">
        <v>63</v>
      </c>
      <c r="R72" s="2" t="s">
        <v>520</v>
      </c>
      <c r="S72" s="2" t="s">
        <v>131</v>
      </c>
      <c r="T72" s="2" t="s">
        <v>35</v>
      </c>
    </row>
    <row r="73" customFormat="false" ht="23.85" hidden="false" customHeight="false" outlineLevel="0" collapsed="false">
      <c r="A73" s="2" t="n">
        <v>36</v>
      </c>
      <c r="B73" s="3" t="n">
        <f aca="false">Settings!$B$3+A73-1</f>
        <v>46349</v>
      </c>
      <c r="C73" s="2" t="str">
        <f aca="false">TEXT(B73,"ddd")</f>
        <v>Mon</v>
      </c>
      <c r="D73" s="2" t="s">
        <v>36</v>
      </c>
      <c r="E73" s="2" t="str">
        <f aca="false">Settings!$B$5</f>
        <v>18:30</v>
      </c>
      <c r="F73" s="2" t="s">
        <v>521</v>
      </c>
      <c r="G73" s="2" t="s">
        <v>458</v>
      </c>
      <c r="H73" s="2" t="s">
        <v>38</v>
      </c>
      <c r="I73" s="2" t="s">
        <v>24</v>
      </c>
      <c r="J73" s="2" t="s">
        <v>522</v>
      </c>
      <c r="K73" s="2" t="s">
        <v>523</v>
      </c>
      <c r="L73" s="2" t="s">
        <v>224</v>
      </c>
      <c r="M73" s="2" t="s">
        <v>524</v>
      </c>
      <c r="N73" s="2" t="s">
        <v>525</v>
      </c>
      <c r="O73" s="2" t="s">
        <v>526</v>
      </c>
      <c r="P73" s="2" t="s">
        <v>62</v>
      </c>
      <c r="Q73" s="2" t="s">
        <v>63</v>
      </c>
      <c r="R73" s="2" t="s">
        <v>527</v>
      </c>
      <c r="S73" s="2" t="s">
        <v>228</v>
      </c>
      <c r="T73" s="2" t="s">
        <v>35</v>
      </c>
    </row>
    <row r="74" customFormat="false" ht="23.85" hidden="false" customHeight="false" outlineLevel="0" collapsed="false">
      <c r="A74" s="2" t="n">
        <v>37</v>
      </c>
      <c r="B74" s="3" t="n">
        <f aca="false">Settings!$B$3+A74-1</f>
        <v>46350</v>
      </c>
      <c r="C74" s="2" t="str">
        <f aca="false">TEXT(B74,"ddd")</f>
        <v>Tue</v>
      </c>
      <c r="D74" s="2" t="s">
        <v>20</v>
      </c>
      <c r="E74" s="2" t="str">
        <f aca="false">Settings!$B$4</f>
        <v>06:30</v>
      </c>
      <c r="F74" s="2" t="s">
        <v>528</v>
      </c>
      <c r="G74" s="2" t="s">
        <v>458</v>
      </c>
      <c r="H74" s="2" t="s">
        <v>48</v>
      </c>
      <c r="I74" s="2" t="s">
        <v>24</v>
      </c>
      <c r="J74" s="2" t="s">
        <v>442</v>
      </c>
      <c r="K74" s="2" t="s">
        <v>443</v>
      </c>
      <c r="L74" s="2" t="s">
        <v>155</v>
      </c>
      <c r="M74" s="2" t="s">
        <v>444</v>
      </c>
      <c r="N74" s="2" t="s">
        <v>445</v>
      </c>
      <c r="O74" s="2" t="s">
        <v>446</v>
      </c>
      <c r="P74" s="2" t="s">
        <v>62</v>
      </c>
      <c r="Q74" s="2" t="s">
        <v>447</v>
      </c>
      <c r="R74" s="2" t="s">
        <v>448</v>
      </c>
      <c r="S74" s="2" t="s">
        <v>449</v>
      </c>
      <c r="T74" s="2" t="s">
        <v>35</v>
      </c>
    </row>
    <row r="75" customFormat="false" ht="23.85" hidden="false" customHeight="false" outlineLevel="0" collapsed="false">
      <c r="A75" s="2" t="n">
        <v>37</v>
      </c>
      <c r="B75" s="3" t="n">
        <f aca="false">Settings!$B$3+A75-1</f>
        <v>46350</v>
      </c>
      <c r="C75" s="2" t="str">
        <f aca="false">TEXT(B75,"ddd")</f>
        <v>Tue</v>
      </c>
      <c r="D75" s="2" t="s">
        <v>36</v>
      </c>
      <c r="E75" s="2" t="str">
        <f aca="false">Settings!$B$5</f>
        <v>18:30</v>
      </c>
      <c r="F75" s="2" t="s">
        <v>529</v>
      </c>
      <c r="G75" s="2" t="s">
        <v>458</v>
      </c>
      <c r="H75" s="2" t="s">
        <v>23</v>
      </c>
      <c r="I75" s="2" t="s">
        <v>24</v>
      </c>
      <c r="J75" s="2" t="s">
        <v>530</v>
      </c>
      <c r="K75" s="2" t="s">
        <v>531</v>
      </c>
      <c r="L75" s="2" t="s">
        <v>58</v>
      </c>
      <c r="M75" s="2" t="s">
        <v>532</v>
      </c>
      <c r="N75" s="2" t="s">
        <v>533</v>
      </c>
      <c r="O75" s="2" t="s">
        <v>534</v>
      </c>
      <c r="P75" s="2" t="s">
        <v>62</v>
      </c>
      <c r="Q75" s="2" t="s">
        <v>63</v>
      </c>
      <c r="R75" s="2" t="s">
        <v>535</v>
      </c>
      <c r="S75" s="2" t="s">
        <v>65</v>
      </c>
      <c r="T75" s="2" t="s">
        <v>35</v>
      </c>
    </row>
    <row r="76" customFormat="false" ht="23.85" hidden="false" customHeight="false" outlineLevel="0" collapsed="false">
      <c r="A76" s="2" t="n">
        <v>38</v>
      </c>
      <c r="B76" s="3" t="n">
        <f aca="false">Settings!$B$3+A76-1</f>
        <v>46351</v>
      </c>
      <c r="C76" s="2" t="str">
        <f aca="false">TEXT(B76,"ddd")</f>
        <v>Wed</v>
      </c>
      <c r="D76" s="2" t="s">
        <v>20</v>
      </c>
      <c r="E76" s="2" t="str">
        <f aca="false">Settings!$B$4</f>
        <v>06:30</v>
      </c>
      <c r="F76" s="2" t="s">
        <v>536</v>
      </c>
      <c r="G76" s="2" t="s">
        <v>458</v>
      </c>
      <c r="H76" s="2" t="s">
        <v>67</v>
      </c>
      <c r="I76" s="2" t="s">
        <v>24</v>
      </c>
      <c r="J76" s="2" t="s">
        <v>537</v>
      </c>
      <c r="K76" s="2" t="s">
        <v>538</v>
      </c>
      <c r="L76" s="2" t="s">
        <v>183</v>
      </c>
      <c r="M76" s="2" t="s">
        <v>539</v>
      </c>
      <c r="N76" s="2" t="s">
        <v>540</v>
      </c>
      <c r="O76" s="2" t="s">
        <v>72</v>
      </c>
      <c r="P76" s="2" t="s">
        <v>62</v>
      </c>
      <c r="Q76" s="2" t="s">
        <v>74</v>
      </c>
      <c r="R76" s="2" t="s">
        <v>541</v>
      </c>
      <c r="S76" s="2" t="s">
        <v>542</v>
      </c>
      <c r="T76" s="2" t="s">
        <v>35</v>
      </c>
    </row>
    <row r="77" customFormat="false" ht="23.85" hidden="false" customHeight="false" outlineLevel="0" collapsed="false">
      <c r="A77" s="2" t="n">
        <v>38</v>
      </c>
      <c r="B77" s="3" t="n">
        <f aca="false">Settings!$B$3+A77-1</f>
        <v>46351</v>
      </c>
      <c r="C77" s="2" t="str">
        <f aca="false">TEXT(B77,"ddd")</f>
        <v>Wed</v>
      </c>
      <c r="D77" s="2" t="s">
        <v>36</v>
      </c>
      <c r="E77" s="2" t="str">
        <f aca="false">Settings!$B$5</f>
        <v>18:30</v>
      </c>
      <c r="F77" s="2" t="s">
        <v>543</v>
      </c>
      <c r="G77" s="2" t="s">
        <v>458</v>
      </c>
      <c r="H77" s="2" t="s">
        <v>78</v>
      </c>
      <c r="I77" s="2" t="s">
        <v>79</v>
      </c>
      <c r="J77" s="2" t="s">
        <v>544</v>
      </c>
      <c r="K77" s="2" t="s">
        <v>545</v>
      </c>
      <c r="L77" s="2" t="s">
        <v>254</v>
      </c>
      <c r="M77" s="2" t="s">
        <v>546</v>
      </c>
      <c r="N77" s="2" t="s">
        <v>547</v>
      </c>
      <c r="O77" s="2" t="s">
        <v>548</v>
      </c>
      <c r="P77" s="2" t="s">
        <v>31</v>
      </c>
      <c r="Q77" s="2" t="s">
        <v>32</v>
      </c>
      <c r="R77" s="2" t="s">
        <v>549</v>
      </c>
      <c r="S77" s="2" t="s">
        <v>259</v>
      </c>
      <c r="T77" s="2" t="s">
        <v>35</v>
      </c>
    </row>
    <row r="78" customFormat="false" ht="23.85" hidden="false" customHeight="false" outlineLevel="0" collapsed="false">
      <c r="A78" s="2" t="n">
        <v>39</v>
      </c>
      <c r="B78" s="3" t="n">
        <f aca="false">Settings!$B$3+A78-1</f>
        <v>46352</v>
      </c>
      <c r="C78" s="2" t="str">
        <f aca="false">TEXT(B78,"ddd")</f>
        <v>Thu</v>
      </c>
      <c r="D78" s="2" t="s">
        <v>20</v>
      </c>
      <c r="E78" s="2" t="str">
        <f aca="false">Settings!$B$4</f>
        <v>06:30</v>
      </c>
      <c r="F78" s="2" t="s">
        <v>550</v>
      </c>
      <c r="G78" s="2" t="s">
        <v>458</v>
      </c>
      <c r="H78" s="2" t="s">
        <v>23</v>
      </c>
      <c r="I78" s="2" t="s">
        <v>24</v>
      </c>
      <c r="J78" s="2" t="s">
        <v>551</v>
      </c>
      <c r="K78" s="2" t="s">
        <v>481</v>
      </c>
      <c r="L78" s="2" t="s">
        <v>82</v>
      </c>
      <c r="M78" s="2" t="s">
        <v>552</v>
      </c>
      <c r="N78" s="2" t="s">
        <v>553</v>
      </c>
      <c r="O78" s="2" t="s">
        <v>483</v>
      </c>
      <c r="P78" s="2" t="s">
        <v>62</v>
      </c>
      <c r="Q78" s="2" t="s">
        <v>63</v>
      </c>
      <c r="R78" s="2" t="s">
        <v>554</v>
      </c>
      <c r="S78" s="2" t="s">
        <v>87</v>
      </c>
      <c r="T78" s="2" t="s">
        <v>35</v>
      </c>
    </row>
    <row r="79" customFormat="false" ht="23.85" hidden="false" customHeight="false" outlineLevel="0" collapsed="false">
      <c r="A79" s="2" t="n">
        <v>39</v>
      </c>
      <c r="B79" s="3" t="n">
        <f aca="false">Settings!$B$3+A79-1</f>
        <v>46352</v>
      </c>
      <c r="C79" s="2" t="str">
        <f aca="false">TEXT(B79,"ddd")</f>
        <v>Thu</v>
      </c>
      <c r="D79" s="2" t="s">
        <v>36</v>
      </c>
      <c r="E79" s="2" t="str">
        <f aca="false">Settings!$B$5</f>
        <v>18:30</v>
      </c>
      <c r="F79" s="2" t="s">
        <v>555</v>
      </c>
      <c r="G79" s="2" t="s">
        <v>458</v>
      </c>
      <c r="H79" s="2" t="s">
        <v>98</v>
      </c>
      <c r="I79" s="2" t="s">
        <v>24</v>
      </c>
      <c r="J79" s="2" t="s">
        <v>556</v>
      </c>
      <c r="K79" s="2" t="s">
        <v>429</v>
      </c>
      <c r="L79" s="2" t="s">
        <v>58</v>
      </c>
      <c r="M79" s="2" t="s">
        <v>557</v>
      </c>
      <c r="N79" s="2" t="s">
        <v>102</v>
      </c>
      <c r="O79" s="2" t="s">
        <v>432</v>
      </c>
      <c r="P79" s="2" t="s">
        <v>62</v>
      </c>
      <c r="Q79" s="2" t="s">
        <v>104</v>
      </c>
      <c r="R79" s="2" t="s">
        <v>558</v>
      </c>
      <c r="S79" s="2" t="s">
        <v>306</v>
      </c>
      <c r="T79" s="2" t="s">
        <v>35</v>
      </c>
    </row>
    <row r="80" customFormat="false" ht="23.85" hidden="false" customHeight="false" outlineLevel="0" collapsed="false">
      <c r="A80" s="2" t="n">
        <v>40</v>
      </c>
      <c r="B80" s="3" t="n">
        <f aca="false">Settings!$B$3+A80-1</f>
        <v>46353</v>
      </c>
      <c r="C80" s="2" t="str">
        <f aca="false">TEXT(B80,"ddd")</f>
        <v>Fri</v>
      </c>
      <c r="D80" s="2" t="s">
        <v>20</v>
      </c>
      <c r="E80" s="2" t="str">
        <f aca="false">Settings!$B$4</f>
        <v>06:30</v>
      </c>
      <c r="F80" s="2" t="s">
        <v>559</v>
      </c>
      <c r="G80" s="2" t="s">
        <v>458</v>
      </c>
      <c r="H80" s="2" t="s">
        <v>108</v>
      </c>
      <c r="I80" s="2" t="s">
        <v>24</v>
      </c>
      <c r="J80" s="2" t="s">
        <v>560</v>
      </c>
      <c r="K80" s="2" t="s">
        <v>561</v>
      </c>
      <c r="L80" s="2" t="s">
        <v>126</v>
      </c>
      <c r="M80" s="2" t="s">
        <v>562</v>
      </c>
      <c r="N80" s="2" t="s">
        <v>563</v>
      </c>
      <c r="O80" s="2" t="s">
        <v>112</v>
      </c>
      <c r="P80" s="2" t="s">
        <v>113</v>
      </c>
      <c r="Q80" s="2" t="s">
        <v>74</v>
      </c>
      <c r="R80" s="2" t="s">
        <v>564</v>
      </c>
      <c r="S80" s="2" t="s">
        <v>565</v>
      </c>
      <c r="T80" s="2" t="s">
        <v>35</v>
      </c>
    </row>
    <row r="81" customFormat="false" ht="23.85" hidden="false" customHeight="false" outlineLevel="0" collapsed="false">
      <c r="A81" s="2" t="n">
        <v>40</v>
      </c>
      <c r="B81" s="3" t="n">
        <f aca="false">Settings!$B$3+A81-1</f>
        <v>46353</v>
      </c>
      <c r="C81" s="2" t="str">
        <f aca="false">TEXT(B81,"ddd")</f>
        <v>Fri</v>
      </c>
      <c r="D81" s="2" t="s">
        <v>36</v>
      </c>
      <c r="E81" s="2" t="str">
        <f aca="false">Settings!$B$5</f>
        <v>18:30</v>
      </c>
      <c r="F81" s="2" t="s">
        <v>566</v>
      </c>
      <c r="G81" s="2" t="s">
        <v>458</v>
      </c>
      <c r="H81" s="2" t="s">
        <v>48</v>
      </c>
      <c r="I81" s="2" t="s">
        <v>24</v>
      </c>
      <c r="J81" s="2" t="s">
        <v>442</v>
      </c>
      <c r="K81" s="2" t="s">
        <v>443</v>
      </c>
      <c r="L81" s="2" t="s">
        <v>155</v>
      </c>
      <c r="M81" s="2" t="s">
        <v>444</v>
      </c>
      <c r="N81" s="2" t="s">
        <v>445</v>
      </c>
      <c r="O81" s="2" t="s">
        <v>446</v>
      </c>
      <c r="P81" s="2" t="s">
        <v>62</v>
      </c>
      <c r="Q81" s="2" t="s">
        <v>447</v>
      </c>
      <c r="R81" s="2" t="s">
        <v>448</v>
      </c>
      <c r="S81" s="2" t="s">
        <v>449</v>
      </c>
      <c r="T81" s="2" t="s">
        <v>35</v>
      </c>
    </row>
    <row r="82" customFormat="false" ht="23.85" hidden="false" customHeight="false" outlineLevel="0" collapsed="false">
      <c r="A82" s="2" t="n">
        <v>41</v>
      </c>
      <c r="B82" s="3" t="n">
        <f aca="false">Settings!$B$3+A82-1</f>
        <v>46354</v>
      </c>
      <c r="C82" s="2" t="str">
        <f aca="false">TEXT(B82,"ddd")</f>
        <v>Sat</v>
      </c>
      <c r="D82" s="2" t="s">
        <v>20</v>
      </c>
      <c r="E82" s="2" t="str">
        <f aca="false">Settings!$B$4</f>
        <v>06:30</v>
      </c>
      <c r="F82" s="2" t="s">
        <v>567</v>
      </c>
      <c r="G82" s="2" t="s">
        <v>458</v>
      </c>
      <c r="H82" s="2" t="s">
        <v>23</v>
      </c>
      <c r="I82" s="2" t="s">
        <v>24</v>
      </c>
      <c r="J82" s="2" t="s">
        <v>568</v>
      </c>
      <c r="K82" s="2" t="s">
        <v>569</v>
      </c>
      <c r="L82" s="2" t="s">
        <v>254</v>
      </c>
      <c r="M82" s="2" t="s">
        <v>570</v>
      </c>
      <c r="N82" s="2" t="s">
        <v>571</v>
      </c>
      <c r="O82" s="2" t="s">
        <v>121</v>
      </c>
      <c r="P82" s="2" t="s">
        <v>62</v>
      </c>
      <c r="Q82" s="2" t="s">
        <v>63</v>
      </c>
      <c r="R82" s="2" t="s">
        <v>572</v>
      </c>
      <c r="S82" s="2" t="s">
        <v>259</v>
      </c>
      <c r="T82" s="2" t="s">
        <v>35</v>
      </c>
    </row>
    <row r="83" customFormat="false" ht="23.85" hidden="false" customHeight="false" outlineLevel="0" collapsed="false">
      <c r="A83" s="2" t="n">
        <v>41</v>
      </c>
      <c r="B83" s="3" t="n">
        <f aca="false">Settings!$B$3+A83-1</f>
        <v>46354</v>
      </c>
      <c r="C83" s="2" t="str">
        <f aca="false">TEXT(B83,"ddd")</f>
        <v>Sat</v>
      </c>
      <c r="D83" s="2" t="s">
        <v>36</v>
      </c>
      <c r="E83" s="2" t="str">
        <f aca="false">Settings!$B$5</f>
        <v>18:30</v>
      </c>
      <c r="F83" s="2" t="s">
        <v>573</v>
      </c>
      <c r="G83" s="2" t="s">
        <v>458</v>
      </c>
      <c r="H83" s="2" t="s">
        <v>38</v>
      </c>
      <c r="I83" s="2" t="s">
        <v>24</v>
      </c>
      <c r="J83" s="2" t="s">
        <v>574</v>
      </c>
      <c r="K83" s="2" t="s">
        <v>575</v>
      </c>
      <c r="L83" s="2" t="s">
        <v>183</v>
      </c>
      <c r="M83" s="2" t="s">
        <v>576</v>
      </c>
      <c r="N83" s="2" t="s">
        <v>577</v>
      </c>
      <c r="O83" s="2" t="s">
        <v>578</v>
      </c>
      <c r="P83" s="2" t="s">
        <v>62</v>
      </c>
      <c r="Q83" s="2" t="s">
        <v>63</v>
      </c>
      <c r="R83" s="2" t="s">
        <v>579</v>
      </c>
      <c r="S83" s="2" t="s">
        <v>188</v>
      </c>
      <c r="T83" s="2" t="s">
        <v>35</v>
      </c>
    </row>
    <row r="84" customFormat="false" ht="23.85" hidden="false" customHeight="false" outlineLevel="0" collapsed="false">
      <c r="A84" s="2" t="n">
        <v>42</v>
      </c>
      <c r="B84" s="3" t="n">
        <f aca="false">Settings!$B$3+A84-1</f>
        <v>46355</v>
      </c>
      <c r="C84" s="2" t="str">
        <f aca="false">TEXT(B84,"ddd")</f>
        <v>Sun</v>
      </c>
      <c r="D84" s="2" t="s">
        <v>20</v>
      </c>
      <c r="E84" s="2" t="str">
        <f aca="false">Settings!$B$4</f>
        <v>06:30</v>
      </c>
      <c r="F84" s="2" t="s">
        <v>580</v>
      </c>
      <c r="G84" s="2" t="s">
        <v>458</v>
      </c>
      <c r="H84" s="2" t="s">
        <v>140</v>
      </c>
      <c r="I84" s="2" t="s">
        <v>141</v>
      </c>
      <c r="J84" s="2" t="s">
        <v>581</v>
      </c>
      <c r="K84" s="2" t="s">
        <v>143</v>
      </c>
      <c r="L84" s="2" t="s">
        <v>144</v>
      </c>
      <c r="M84" s="2" t="s">
        <v>582</v>
      </c>
      <c r="N84" s="2" t="s">
        <v>146</v>
      </c>
      <c r="O84" s="2" t="s">
        <v>147</v>
      </c>
      <c r="P84" s="2" t="s">
        <v>148</v>
      </c>
      <c r="Q84" s="2" t="s">
        <v>45</v>
      </c>
      <c r="R84" s="2" t="s">
        <v>583</v>
      </c>
      <c r="S84" s="2" t="s">
        <v>150</v>
      </c>
      <c r="T84" s="2" t="s">
        <v>35</v>
      </c>
    </row>
    <row r="85" customFormat="false" ht="23.85" hidden="false" customHeight="false" outlineLevel="0" collapsed="false">
      <c r="A85" s="2" t="n">
        <v>42</v>
      </c>
      <c r="B85" s="3" t="n">
        <f aca="false">Settings!$B$3+A85-1</f>
        <v>46355</v>
      </c>
      <c r="C85" s="2" t="str">
        <f aca="false">TEXT(B85,"ddd")</f>
        <v>Sun</v>
      </c>
      <c r="D85" s="2" t="s">
        <v>36</v>
      </c>
      <c r="E85" s="2" t="str">
        <f aca="false">Settings!$B$5</f>
        <v>18:30</v>
      </c>
      <c r="F85" s="2" t="s">
        <v>584</v>
      </c>
      <c r="G85" s="2" t="s">
        <v>458</v>
      </c>
      <c r="H85" s="2" t="s">
        <v>48</v>
      </c>
      <c r="I85" s="2" t="s">
        <v>24</v>
      </c>
      <c r="J85" s="2" t="s">
        <v>442</v>
      </c>
      <c r="K85" s="2" t="s">
        <v>443</v>
      </c>
      <c r="L85" s="2" t="s">
        <v>155</v>
      </c>
      <c r="M85" s="2" t="s">
        <v>444</v>
      </c>
      <c r="N85" s="2" t="s">
        <v>445</v>
      </c>
      <c r="O85" s="2" t="s">
        <v>446</v>
      </c>
      <c r="P85" s="2" t="s">
        <v>62</v>
      </c>
      <c r="Q85" s="2" t="s">
        <v>447</v>
      </c>
      <c r="R85" s="2" t="s">
        <v>448</v>
      </c>
      <c r="S85" s="2" t="s">
        <v>449</v>
      </c>
      <c r="T85" s="2" t="s">
        <v>35</v>
      </c>
    </row>
    <row r="86" customFormat="false" ht="23.85" hidden="false" customHeight="false" outlineLevel="0" collapsed="false">
      <c r="A86" s="2" t="n">
        <v>43</v>
      </c>
      <c r="B86" s="3" t="n">
        <f aca="false">Settings!$B$3+A86-1</f>
        <v>46356</v>
      </c>
      <c r="C86" s="2" t="str">
        <f aca="false">TEXT(B86,"ddd")</f>
        <v>Mon</v>
      </c>
      <c r="D86" s="2" t="s">
        <v>20</v>
      </c>
      <c r="E86" s="2" t="str">
        <f aca="false">Settings!$B$4</f>
        <v>06:30</v>
      </c>
      <c r="F86" s="2" t="s">
        <v>585</v>
      </c>
      <c r="G86" s="2" t="s">
        <v>458</v>
      </c>
      <c r="H86" s="2" t="s">
        <v>23</v>
      </c>
      <c r="I86" s="2" t="s">
        <v>24</v>
      </c>
      <c r="J86" s="2" t="s">
        <v>586</v>
      </c>
      <c r="K86" s="2" t="s">
        <v>587</v>
      </c>
      <c r="L86" s="2" t="s">
        <v>183</v>
      </c>
      <c r="M86" s="2" t="s">
        <v>588</v>
      </c>
      <c r="N86" s="2" t="s">
        <v>589</v>
      </c>
      <c r="O86" s="2" t="s">
        <v>129</v>
      </c>
      <c r="P86" s="2" t="s">
        <v>62</v>
      </c>
      <c r="Q86" s="2" t="s">
        <v>63</v>
      </c>
      <c r="R86" s="2" t="s">
        <v>590</v>
      </c>
      <c r="S86" s="2" t="s">
        <v>188</v>
      </c>
      <c r="T86" s="2" t="s">
        <v>35</v>
      </c>
    </row>
    <row r="87" customFormat="false" ht="23.85" hidden="false" customHeight="false" outlineLevel="0" collapsed="false">
      <c r="A87" s="2" t="n">
        <v>43</v>
      </c>
      <c r="B87" s="3" t="n">
        <f aca="false">Settings!$B$3+A87-1</f>
        <v>46356</v>
      </c>
      <c r="C87" s="2" t="str">
        <f aca="false">TEXT(B87,"ddd")</f>
        <v>Mon</v>
      </c>
      <c r="D87" s="2" t="s">
        <v>36</v>
      </c>
      <c r="E87" s="2" t="str">
        <f aca="false">Settings!$B$5</f>
        <v>18:30</v>
      </c>
      <c r="F87" s="2" t="s">
        <v>591</v>
      </c>
      <c r="G87" s="2" t="s">
        <v>458</v>
      </c>
      <c r="H87" s="2" t="s">
        <v>38</v>
      </c>
      <c r="I87" s="2" t="s">
        <v>24</v>
      </c>
      <c r="J87" s="2" t="s">
        <v>592</v>
      </c>
      <c r="K87" s="2" t="s">
        <v>593</v>
      </c>
      <c r="L87" s="2" t="s">
        <v>91</v>
      </c>
      <c r="M87" s="2" t="s">
        <v>594</v>
      </c>
      <c r="N87" s="2" t="s">
        <v>595</v>
      </c>
      <c r="O87" s="2" t="s">
        <v>596</v>
      </c>
      <c r="P87" s="2" t="s">
        <v>44</v>
      </c>
      <c r="Q87" s="2" t="s">
        <v>45</v>
      </c>
      <c r="R87" s="2" t="s">
        <v>597</v>
      </c>
      <c r="S87" s="2" t="s">
        <v>96</v>
      </c>
      <c r="T87" s="2" t="s">
        <v>35</v>
      </c>
    </row>
    <row r="88" customFormat="false" ht="23.85" hidden="false" customHeight="false" outlineLevel="0" collapsed="false">
      <c r="A88" s="2" t="n">
        <v>44</v>
      </c>
      <c r="B88" s="3" t="n">
        <f aca="false">Settings!$B$3+A88-1</f>
        <v>46357</v>
      </c>
      <c r="C88" s="2" t="str">
        <f aca="false">TEXT(B88,"ddd")</f>
        <v>Tue</v>
      </c>
      <c r="D88" s="2" t="s">
        <v>20</v>
      </c>
      <c r="E88" s="2" t="str">
        <f aca="false">Settings!$B$4</f>
        <v>06:30</v>
      </c>
      <c r="F88" s="2" t="s">
        <v>598</v>
      </c>
      <c r="G88" s="2" t="s">
        <v>458</v>
      </c>
      <c r="H88" s="2" t="s">
        <v>48</v>
      </c>
      <c r="I88" s="2" t="s">
        <v>24</v>
      </c>
      <c r="J88" s="2" t="s">
        <v>442</v>
      </c>
      <c r="K88" s="2" t="s">
        <v>443</v>
      </c>
      <c r="L88" s="2" t="s">
        <v>155</v>
      </c>
      <c r="M88" s="2" t="s">
        <v>444</v>
      </c>
      <c r="N88" s="2" t="s">
        <v>445</v>
      </c>
      <c r="O88" s="2" t="s">
        <v>446</v>
      </c>
      <c r="P88" s="2" t="s">
        <v>62</v>
      </c>
      <c r="Q88" s="2" t="s">
        <v>447</v>
      </c>
      <c r="R88" s="2" t="s">
        <v>448</v>
      </c>
      <c r="S88" s="2" t="s">
        <v>449</v>
      </c>
      <c r="T88" s="2" t="s">
        <v>35</v>
      </c>
    </row>
    <row r="89" customFormat="false" ht="23.85" hidden="false" customHeight="false" outlineLevel="0" collapsed="false">
      <c r="A89" s="2" t="n">
        <v>44</v>
      </c>
      <c r="B89" s="3" t="n">
        <f aca="false">Settings!$B$3+A89-1</f>
        <v>46357</v>
      </c>
      <c r="C89" s="2" t="str">
        <f aca="false">TEXT(B89,"ddd")</f>
        <v>Tue</v>
      </c>
      <c r="D89" s="2" t="s">
        <v>36</v>
      </c>
      <c r="E89" s="2" t="str">
        <f aca="false">Settings!$B$5</f>
        <v>18:30</v>
      </c>
      <c r="F89" s="2" t="s">
        <v>599</v>
      </c>
      <c r="G89" s="2" t="s">
        <v>458</v>
      </c>
      <c r="H89" s="2" t="s">
        <v>23</v>
      </c>
      <c r="I89" s="2" t="s">
        <v>24</v>
      </c>
      <c r="J89" s="2" t="s">
        <v>600</v>
      </c>
      <c r="K89" s="2" t="s">
        <v>601</v>
      </c>
      <c r="L89" s="2" t="s">
        <v>58</v>
      </c>
      <c r="M89" s="2" t="s">
        <v>602</v>
      </c>
      <c r="N89" s="2" t="s">
        <v>603</v>
      </c>
      <c r="O89" s="2" t="s">
        <v>604</v>
      </c>
      <c r="P89" s="2" t="s">
        <v>62</v>
      </c>
      <c r="Q89" s="2" t="s">
        <v>63</v>
      </c>
      <c r="R89" s="2" t="s">
        <v>605</v>
      </c>
      <c r="S89" s="2" t="s">
        <v>65</v>
      </c>
      <c r="T89" s="2" t="s">
        <v>35</v>
      </c>
    </row>
    <row r="90" customFormat="false" ht="23.85" hidden="false" customHeight="false" outlineLevel="0" collapsed="false">
      <c r="A90" s="2" t="n">
        <v>45</v>
      </c>
      <c r="B90" s="3" t="n">
        <f aca="false">Settings!$B$3+A90-1</f>
        <v>46358</v>
      </c>
      <c r="C90" s="2" t="str">
        <f aca="false">TEXT(B90,"ddd")</f>
        <v>Wed</v>
      </c>
      <c r="D90" s="2" t="s">
        <v>20</v>
      </c>
      <c r="E90" s="2" t="str">
        <f aca="false">Settings!$B$4</f>
        <v>06:30</v>
      </c>
      <c r="F90" s="2" t="s">
        <v>606</v>
      </c>
      <c r="G90" s="2" t="s">
        <v>458</v>
      </c>
      <c r="H90" s="2" t="s">
        <v>67</v>
      </c>
      <c r="I90" s="2" t="s">
        <v>24</v>
      </c>
      <c r="J90" s="2" t="s">
        <v>607</v>
      </c>
      <c r="K90" s="2" t="s">
        <v>608</v>
      </c>
      <c r="L90" s="2" t="s">
        <v>126</v>
      </c>
      <c r="M90" s="2" t="s">
        <v>609</v>
      </c>
      <c r="N90" s="2" t="s">
        <v>610</v>
      </c>
      <c r="O90" s="2" t="s">
        <v>72</v>
      </c>
      <c r="P90" s="2" t="s">
        <v>62</v>
      </c>
      <c r="Q90" s="2" t="s">
        <v>74</v>
      </c>
      <c r="R90" s="2" t="s">
        <v>611</v>
      </c>
      <c r="S90" s="2" t="s">
        <v>612</v>
      </c>
      <c r="T90" s="2" t="s">
        <v>35</v>
      </c>
    </row>
    <row r="91" customFormat="false" ht="23.85" hidden="false" customHeight="false" outlineLevel="0" collapsed="false">
      <c r="A91" s="2" t="n">
        <v>45</v>
      </c>
      <c r="B91" s="3" t="n">
        <f aca="false">Settings!$B$3+A91-1</f>
        <v>46358</v>
      </c>
      <c r="C91" s="2" t="str">
        <f aca="false">TEXT(B91,"ddd")</f>
        <v>Wed</v>
      </c>
      <c r="D91" s="2" t="s">
        <v>36</v>
      </c>
      <c r="E91" s="2" t="str">
        <f aca="false">Settings!$B$5</f>
        <v>18:30</v>
      </c>
      <c r="F91" s="2" t="s">
        <v>613</v>
      </c>
      <c r="G91" s="2" t="s">
        <v>458</v>
      </c>
      <c r="H91" s="2" t="s">
        <v>78</v>
      </c>
      <c r="I91" s="2" t="s">
        <v>79</v>
      </c>
      <c r="J91" s="2" t="s">
        <v>614</v>
      </c>
      <c r="K91" s="2" t="s">
        <v>615</v>
      </c>
      <c r="L91" s="2" t="s">
        <v>126</v>
      </c>
      <c r="M91" s="2" t="s">
        <v>616</v>
      </c>
      <c r="N91" s="2" t="s">
        <v>617</v>
      </c>
      <c r="O91" s="2" t="s">
        <v>618</v>
      </c>
      <c r="P91" s="2" t="s">
        <v>62</v>
      </c>
      <c r="Q91" s="2" t="s">
        <v>63</v>
      </c>
      <c r="R91" s="2" t="s">
        <v>619</v>
      </c>
      <c r="S91" s="2" t="s">
        <v>131</v>
      </c>
      <c r="T91" s="2" t="s">
        <v>35</v>
      </c>
    </row>
    <row r="92" customFormat="false" ht="23.85" hidden="false" customHeight="false" outlineLevel="0" collapsed="false">
      <c r="A92" s="2" t="n">
        <v>46</v>
      </c>
      <c r="B92" s="3" t="n">
        <f aca="false">Settings!$B$3+A92-1</f>
        <v>46359</v>
      </c>
      <c r="C92" s="2" t="str">
        <f aca="false">TEXT(B92,"ddd")</f>
        <v>Thu</v>
      </c>
      <c r="D92" s="2" t="s">
        <v>20</v>
      </c>
      <c r="E92" s="2" t="str">
        <f aca="false">Settings!$B$4</f>
        <v>06:30</v>
      </c>
      <c r="F92" s="2" t="s">
        <v>620</v>
      </c>
      <c r="G92" s="2" t="s">
        <v>458</v>
      </c>
      <c r="H92" s="2" t="s">
        <v>23</v>
      </c>
      <c r="I92" s="2" t="s">
        <v>24</v>
      </c>
      <c r="J92" s="2" t="s">
        <v>621</v>
      </c>
      <c r="K92" s="2" t="s">
        <v>622</v>
      </c>
      <c r="L92" s="2" t="s">
        <v>91</v>
      </c>
      <c r="M92" s="2" t="s">
        <v>623</v>
      </c>
      <c r="N92" s="2" t="s">
        <v>624</v>
      </c>
      <c r="O92" s="2" t="s">
        <v>121</v>
      </c>
      <c r="P92" s="2" t="s">
        <v>62</v>
      </c>
      <c r="Q92" s="2" t="s">
        <v>63</v>
      </c>
      <c r="R92" s="2" t="s">
        <v>625</v>
      </c>
      <c r="S92" s="2" t="s">
        <v>96</v>
      </c>
      <c r="T92" s="2" t="s">
        <v>35</v>
      </c>
    </row>
    <row r="93" customFormat="false" ht="23.85" hidden="false" customHeight="false" outlineLevel="0" collapsed="false">
      <c r="A93" s="2" t="n">
        <v>46</v>
      </c>
      <c r="B93" s="3" t="n">
        <f aca="false">Settings!$B$3+A93-1</f>
        <v>46359</v>
      </c>
      <c r="C93" s="2" t="str">
        <f aca="false">TEXT(B93,"ddd")</f>
        <v>Thu</v>
      </c>
      <c r="D93" s="2" t="s">
        <v>36</v>
      </c>
      <c r="E93" s="2" t="str">
        <f aca="false">Settings!$B$5</f>
        <v>18:30</v>
      </c>
      <c r="F93" s="2" t="s">
        <v>626</v>
      </c>
      <c r="G93" s="2" t="s">
        <v>458</v>
      </c>
      <c r="H93" s="2" t="s">
        <v>98</v>
      </c>
      <c r="I93" s="2" t="s">
        <v>24</v>
      </c>
      <c r="J93" s="2" t="s">
        <v>627</v>
      </c>
      <c r="K93" s="2" t="s">
        <v>345</v>
      </c>
      <c r="L93" s="2" t="s">
        <v>91</v>
      </c>
      <c r="M93" s="2" t="s">
        <v>628</v>
      </c>
      <c r="N93" s="2" t="s">
        <v>102</v>
      </c>
      <c r="O93" s="2" t="s">
        <v>348</v>
      </c>
      <c r="P93" s="2" t="s">
        <v>62</v>
      </c>
      <c r="Q93" s="2" t="s">
        <v>104</v>
      </c>
      <c r="R93" s="2" t="s">
        <v>629</v>
      </c>
      <c r="S93" s="2" t="s">
        <v>630</v>
      </c>
      <c r="T93" s="2" t="s">
        <v>35</v>
      </c>
    </row>
    <row r="94" customFormat="false" ht="23.85" hidden="false" customHeight="false" outlineLevel="0" collapsed="false">
      <c r="A94" s="2" t="n">
        <v>47</v>
      </c>
      <c r="B94" s="3" t="n">
        <f aca="false">Settings!$B$3+A94-1</f>
        <v>46360</v>
      </c>
      <c r="C94" s="2" t="str">
        <f aca="false">TEXT(B94,"ddd")</f>
        <v>Fri</v>
      </c>
      <c r="D94" s="2" t="s">
        <v>20</v>
      </c>
      <c r="E94" s="2" t="str">
        <f aca="false">Settings!$B$4</f>
        <v>06:30</v>
      </c>
      <c r="F94" s="2" t="s">
        <v>631</v>
      </c>
      <c r="G94" s="2" t="s">
        <v>458</v>
      </c>
      <c r="H94" s="2" t="s">
        <v>108</v>
      </c>
      <c r="I94" s="2" t="s">
        <v>24</v>
      </c>
      <c r="J94" s="2" t="s">
        <v>632</v>
      </c>
      <c r="K94" s="2" t="s">
        <v>633</v>
      </c>
      <c r="L94" s="2" t="s">
        <v>126</v>
      </c>
      <c r="M94" s="2" t="s">
        <v>634</v>
      </c>
      <c r="N94" s="2" t="s">
        <v>635</v>
      </c>
      <c r="O94" s="2" t="s">
        <v>112</v>
      </c>
      <c r="P94" s="2" t="s">
        <v>113</v>
      </c>
      <c r="Q94" s="2" t="s">
        <v>74</v>
      </c>
      <c r="R94" s="2" t="s">
        <v>636</v>
      </c>
      <c r="S94" s="2" t="s">
        <v>565</v>
      </c>
      <c r="T94" s="2" t="s">
        <v>35</v>
      </c>
    </row>
    <row r="95" customFormat="false" ht="23.85" hidden="false" customHeight="false" outlineLevel="0" collapsed="false">
      <c r="A95" s="2" t="n">
        <v>47</v>
      </c>
      <c r="B95" s="3" t="n">
        <f aca="false">Settings!$B$3+A95-1</f>
        <v>46360</v>
      </c>
      <c r="C95" s="2" t="str">
        <f aca="false">TEXT(B95,"ddd")</f>
        <v>Fri</v>
      </c>
      <c r="D95" s="2" t="s">
        <v>36</v>
      </c>
      <c r="E95" s="2" t="str">
        <f aca="false">Settings!$B$5</f>
        <v>18:30</v>
      </c>
      <c r="F95" s="2" t="s">
        <v>637</v>
      </c>
      <c r="G95" s="2" t="s">
        <v>458</v>
      </c>
      <c r="H95" s="2" t="s">
        <v>48</v>
      </c>
      <c r="I95" s="2" t="s">
        <v>24</v>
      </c>
      <c r="J95" s="2" t="s">
        <v>442</v>
      </c>
      <c r="K95" s="2" t="s">
        <v>443</v>
      </c>
      <c r="L95" s="2" t="s">
        <v>155</v>
      </c>
      <c r="M95" s="2" t="s">
        <v>444</v>
      </c>
      <c r="N95" s="2" t="s">
        <v>445</v>
      </c>
      <c r="O95" s="2" t="s">
        <v>446</v>
      </c>
      <c r="P95" s="2" t="s">
        <v>62</v>
      </c>
      <c r="Q95" s="2" t="s">
        <v>447</v>
      </c>
      <c r="R95" s="2" t="s">
        <v>448</v>
      </c>
      <c r="S95" s="2" t="s">
        <v>449</v>
      </c>
      <c r="T95" s="2" t="s">
        <v>35</v>
      </c>
    </row>
    <row r="96" customFormat="false" ht="23.85" hidden="false" customHeight="false" outlineLevel="0" collapsed="false">
      <c r="A96" s="2" t="n">
        <v>48</v>
      </c>
      <c r="B96" s="3" t="n">
        <f aca="false">Settings!$B$3+A96-1</f>
        <v>46361</v>
      </c>
      <c r="C96" s="2" t="str">
        <f aca="false">TEXT(B96,"ddd")</f>
        <v>Sat</v>
      </c>
      <c r="D96" s="2" t="s">
        <v>20</v>
      </c>
      <c r="E96" s="2" t="str">
        <f aca="false">Settings!$B$4</f>
        <v>06:30</v>
      </c>
      <c r="F96" s="2" t="s">
        <v>638</v>
      </c>
      <c r="G96" s="2" t="s">
        <v>458</v>
      </c>
      <c r="H96" s="2" t="s">
        <v>23</v>
      </c>
      <c r="I96" s="2" t="s">
        <v>24</v>
      </c>
      <c r="J96" s="2" t="s">
        <v>639</v>
      </c>
      <c r="K96" s="2" t="s">
        <v>640</v>
      </c>
      <c r="L96" s="2" t="s">
        <v>27</v>
      </c>
      <c r="M96" s="2" t="s">
        <v>641</v>
      </c>
      <c r="N96" s="2" t="s">
        <v>642</v>
      </c>
      <c r="O96" s="2" t="s">
        <v>278</v>
      </c>
      <c r="P96" s="2" t="s">
        <v>62</v>
      </c>
      <c r="Q96" s="2" t="s">
        <v>63</v>
      </c>
      <c r="R96" s="2" t="s">
        <v>643</v>
      </c>
      <c r="S96" s="2" t="s">
        <v>34</v>
      </c>
      <c r="T96" s="2" t="s">
        <v>35</v>
      </c>
    </row>
    <row r="97" customFormat="false" ht="23.85" hidden="false" customHeight="false" outlineLevel="0" collapsed="false">
      <c r="A97" s="2" t="n">
        <v>48</v>
      </c>
      <c r="B97" s="3" t="n">
        <f aca="false">Settings!$B$3+A97-1</f>
        <v>46361</v>
      </c>
      <c r="C97" s="2" t="str">
        <f aca="false">TEXT(B97,"ddd")</f>
        <v>Sat</v>
      </c>
      <c r="D97" s="2" t="s">
        <v>36</v>
      </c>
      <c r="E97" s="2" t="str">
        <f aca="false">Settings!$B$5</f>
        <v>18:30</v>
      </c>
      <c r="F97" s="2" t="s">
        <v>644</v>
      </c>
      <c r="G97" s="2" t="s">
        <v>458</v>
      </c>
      <c r="H97" s="2" t="s">
        <v>38</v>
      </c>
      <c r="I97" s="2" t="s">
        <v>24</v>
      </c>
      <c r="J97" s="2" t="s">
        <v>645</v>
      </c>
      <c r="K97" s="2" t="s">
        <v>646</v>
      </c>
      <c r="L97" s="2" t="s">
        <v>224</v>
      </c>
      <c r="M97" s="2" t="s">
        <v>647</v>
      </c>
      <c r="N97" s="2" t="s">
        <v>648</v>
      </c>
      <c r="O97" s="2" t="s">
        <v>649</v>
      </c>
      <c r="P97" s="2" t="s">
        <v>44</v>
      </c>
      <c r="Q97" s="2" t="s">
        <v>45</v>
      </c>
      <c r="R97" s="2" t="s">
        <v>650</v>
      </c>
      <c r="S97" s="2" t="s">
        <v>228</v>
      </c>
      <c r="T97" s="2" t="s">
        <v>35</v>
      </c>
    </row>
    <row r="98" customFormat="false" ht="23.85" hidden="false" customHeight="false" outlineLevel="0" collapsed="false">
      <c r="A98" s="2" t="n">
        <v>49</v>
      </c>
      <c r="B98" s="3" t="n">
        <f aca="false">Settings!$B$3+A98-1</f>
        <v>46362</v>
      </c>
      <c r="C98" s="2" t="str">
        <f aca="false">TEXT(B98,"ddd")</f>
        <v>Sun</v>
      </c>
      <c r="D98" s="2" t="s">
        <v>20</v>
      </c>
      <c r="E98" s="2" t="str">
        <f aca="false">Settings!$B$4</f>
        <v>06:30</v>
      </c>
      <c r="F98" s="2" t="s">
        <v>651</v>
      </c>
      <c r="G98" s="2" t="s">
        <v>458</v>
      </c>
      <c r="H98" s="2" t="s">
        <v>140</v>
      </c>
      <c r="I98" s="2" t="s">
        <v>141</v>
      </c>
      <c r="J98" s="2" t="s">
        <v>652</v>
      </c>
      <c r="K98" s="2" t="s">
        <v>143</v>
      </c>
      <c r="L98" s="2" t="s">
        <v>144</v>
      </c>
      <c r="M98" s="2" t="s">
        <v>653</v>
      </c>
      <c r="N98" s="2" t="s">
        <v>146</v>
      </c>
      <c r="O98" s="2" t="s">
        <v>147</v>
      </c>
      <c r="P98" s="2" t="s">
        <v>148</v>
      </c>
      <c r="Q98" s="2" t="s">
        <v>45</v>
      </c>
      <c r="R98" s="2" t="s">
        <v>654</v>
      </c>
      <c r="S98" s="2" t="s">
        <v>150</v>
      </c>
      <c r="T98" s="2" t="s">
        <v>35</v>
      </c>
    </row>
    <row r="99" customFormat="false" ht="23.85" hidden="false" customHeight="false" outlineLevel="0" collapsed="false">
      <c r="A99" s="2" t="n">
        <v>49</v>
      </c>
      <c r="B99" s="3" t="n">
        <f aca="false">Settings!$B$3+A99-1</f>
        <v>46362</v>
      </c>
      <c r="C99" s="2" t="str">
        <f aca="false">TEXT(B99,"ddd")</f>
        <v>Sun</v>
      </c>
      <c r="D99" s="2" t="s">
        <v>36</v>
      </c>
      <c r="E99" s="2" t="str">
        <f aca="false">Settings!$B$5</f>
        <v>18:30</v>
      </c>
      <c r="F99" s="2" t="s">
        <v>655</v>
      </c>
      <c r="G99" s="2" t="s">
        <v>458</v>
      </c>
      <c r="H99" s="2" t="s">
        <v>152</v>
      </c>
      <c r="I99" s="2" t="s">
        <v>79</v>
      </c>
      <c r="J99" s="2" t="s">
        <v>656</v>
      </c>
      <c r="K99" s="2" t="s">
        <v>154</v>
      </c>
      <c r="L99" s="2" t="s">
        <v>155</v>
      </c>
      <c r="M99" s="2" t="s">
        <v>657</v>
      </c>
      <c r="N99" s="2" t="s">
        <v>658</v>
      </c>
      <c r="O99" s="2" t="s">
        <v>158</v>
      </c>
      <c r="P99" s="2" t="s">
        <v>148</v>
      </c>
      <c r="Q99" s="2" t="s">
        <v>45</v>
      </c>
      <c r="R99" s="2" t="s">
        <v>659</v>
      </c>
      <c r="S99" s="2" t="s">
        <v>160</v>
      </c>
      <c r="T99" s="2" t="s">
        <v>35</v>
      </c>
    </row>
    <row r="100" customFormat="false" ht="23.85" hidden="false" customHeight="false" outlineLevel="0" collapsed="false">
      <c r="A100" s="2" t="n">
        <v>50</v>
      </c>
      <c r="B100" s="3" t="n">
        <f aca="false">Settings!$B$3+A100-1</f>
        <v>46363</v>
      </c>
      <c r="C100" s="2" t="str">
        <f aca="false">TEXT(B100,"ddd")</f>
        <v>Mon</v>
      </c>
      <c r="D100" s="2" t="s">
        <v>20</v>
      </c>
      <c r="E100" s="2" t="str">
        <f aca="false">Settings!$B$4</f>
        <v>06:30</v>
      </c>
      <c r="F100" s="2" t="s">
        <v>660</v>
      </c>
      <c r="G100" s="2" t="s">
        <v>458</v>
      </c>
      <c r="H100" s="2" t="s">
        <v>23</v>
      </c>
      <c r="I100" s="2" t="s">
        <v>24</v>
      </c>
      <c r="J100" s="2" t="s">
        <v>661</v>
      </c>
      <c r="K100" s="2" t="s">
        <v>662</v>
      </c>
      <c r="L100" s="2" t="s">
        <v>58</v>
      </c>
      <c r="M100" s="2" t="s">
        <v>663</v>
      </c>
      <c r="N100" s="2" t="s">
        <v>664</v>
      </c>
      <c r="O100" s="2" t="s">
        <v>121</v>
      </c>
      <c r="P100" s="2" t="s">
        <v>62</v>
      </c>
      <c r="Q100" s="2" t="s">
        <v>63</v>
      </c>
      <c r="R100" s="2" t="s">
        <v>665</v>
      </c>
      <c r="S100" s="2" t="s">
        <v>65</v>
      </c>
      <c r="T100" s="2" t="s">
        <v>35</v>
      </c>
    </row>
    <row r="101" customFormat="false" ht="23.85" hidden="false" customHeight="false" outlineLevel="0" collapsed="false">
      <c r="A101" s="2" t="n">
        <v>50</v>
      </c>
      <c r="B101" s="3" t="n">
        <f aca="false">Settings!$B$3+A101-1</f>
        <v>46363</v>
      </c>
      <c r="C101" s="2" t="str">
        <f aca="false">TEXT(B101,"ddd")</f>
        <v>Mon</v>
      </c>
      <c r="D101" s="2" t="s">
        <v>36</v>
      </c>
      <c r="E101" s="2" t="str">
        <f aca="false">Settings!$B$5</f>
        <v>18:30</v>
      </c>
      <c r="F101" s="2" t="s">
        <v>666</v>
      </c>
      <c r="G101" s="2" t="s">
        <v>458</v>
      </c>
      <c r="H101" s="2" t="s">
        <v>38</v>
      </c>
      <c r="I101" s="2" t="s">
        <v>24</v>
      </c>
      <c r="J101" s="2" t="s">
        <v>667</v>
      </c>
      <c r="K101" s="2" t="s">
        <v>668</v>
      </c>
      <c r="L101" s="2" t="s">
        <v>224</v>
      </c>
      <c r="M101" s="2" t="s">
        <v>669</v>
      </c>
      <c r="N101" s="2" t="s">
        <v>670</v>
      </c>
      <c r="O101" s="2" t="s">
        <v>671</v>
      </c>
      <c r="P101" s="2" t="s">
        <v>44</v>
      </c>
      <c r="Q101" s="2" t="s">
        <v>45</v>
      </c>
      <c r="R101" s="2" t="s">
        <v>672</v>
      </c>
      <c r="S101" s="2" t="s">
        <v>228</v>
      </c>
      <c r="T101" s="2" t="s">
        <v>35</v>
      </c>
    </row>
    <row r="102" customFormat="false" ht="23.85" hidden="false" customHeight="false" outlineLevel="0" collapsed="false">
      <c r="A102" s="2" t="n">
        <v>51</v>
      </c>
      <c r="B102" s="3" t="n">
        <f aca="false">Settings!$B$3+A102-1</f>
        <v>46364</v>
      </c>
      <c r="C102" s="2" t="str">
        <f aca="false">TEXT(B102,"ddd")</f>
        <v>Tue</v>
      </c>
      <c r="D102" s="2" t="s">
        <v>20</v>
      </c>
      <c r="E102" s="2" t="str">
        <f aca="false">Settings!$B$4</f>
        <v>06:30</v>
      </c>
      <c r="F102" s="2" t="s">
        <v>673</v>
      </c>
      <c r="G102" s="2" t="s">
        <v>458</v>
      </c>
      <c r="H102" s="2" t="s">
        <v>48</v>
      </c>
      <c r="I102" s="2" t="s">
        <v>24</v>
      </c>
      <c r="J102" s="2" t="s">
        <v>442</v>
      </c>
      <c r="K102" s="2" t="s">
        <v>443</v>
      </c>
      <c r="L102" s="2" t="s">
        <v>155</v>
      </c>
      <c r="M102" s="2" t="s">
        <v>444</v>
      </c>
      <c r="N102" s="2" t="s">
        <v>445</v>
      </c>
      <c r="O102" s="2" t="s">
        <v>446</v>
      </c>
      <c r="P102" s="2" t="s">
        <v>62</v>
      </c>
      <c r="Q102" s="2" t="s">
        <v>447</v>
      </c>
      <c r="R102" s="2" t="s">
        <v>448</v>
      </c>
      <c r="S102" s="2" t="s">
        <v>449</v>
      </c>
      <c r="T102" s="2" t="s">
        <v>35</v>
      </c>
    </row>
    <row r="103" customFormat="false" ht="23.85" hidden="false" customHeight="false" outlineLevel="0" collapsed="false">
      <c r="A103" s="2" t="n">
        <v>51</v>
      </c>
      <c r="B103" s="3" t="n">
        <f aca="false">Settings!$B$3+A103-1</f>
        <v>46364</v>
      </c>
      <c r="C103" s="2" t="str">
        <f aca="false">TEXT(B103,"ddd")</f>
        <v>Tue</v>
      </c>
      <c r="D103" s="2" t="s">
        <v>36</v>
      </c>
      <c r="E103" s="2" t="str">
        <f aca="false">Settings!$B$5</f>
        <v>18:30</v>
      </c>
      <c r="F103" s="2" t="s">
        <v>674</v>
      </c>
      <c r="G103" s="2" t="s">
        <v>458</v>
      </c>
      <c r="H103" s="2" t="s">
        <v>23</v>
      </c>
      <c r="I103" s="2" t="s">
        <v>24</v>
      </c>
      <c r="J103" s="2" t="s">
        <v>675</v>
      </c>
      <c r="K103" s="2" t="s">
        <v>676</v>
      </c>
      <c r="L103" s="2" t="s">
        <v>126</v>
      </c>
      <c r="M103" s="2" t="s">
        <v>677</v>
      </c>
      <c r="N103" s="2" t="s">
        <v>678</v>
      </c>
      <c r="O103" s="2" t="s">
        <v>679</v>
      </c>
      <c r="P103" s="4" t="s">
        <v>31</v>
      </c>
      <c r="Q103" s="2" t="s">
        <v>32</v>
      </c>
      <c r="R103" s="2" t="s">
        <v>680</v>
      </c>
      <c r="S103" s="2" t="s">
        <v>131</v>
      </c>
      <c r="T103" s="2" t="s">
        <v>35</v>
      </c>
    </row>
    <row r="104" customFormat="false" ht="46.25" hidden="false" customHeight="false" outlineLevel="0" collapsed="false">
      <c r="A104" s="2" t="n">
        <v>52</v>
      </c>
      <c r="B104" s="3" t="n">
        <f aca="false">Settings!$B$3+A104-1</f>
        <v>46365</v>
      </c>
      <c r="C104" s="2" t="str">
        <f aca="false">TEXT(B104,"ddd")</f>
        <v>Wed</v>
      </c>
      <c r="D104" s="2" t="s">
        <v>20</v>
      </c>
      <c r="E104" s="2" t="str">
        <f aca="false">Settings!$B$4</f>
        <v>06:30</v>
      </c>
      <c r="F104" s="2" t="s">
        <v>681</v>
      </c>
      <c r="G104" s="2" t="s">
        <v>458</v>
      </c>
      <c r="H104" s="2" t="s">
        <v>67</v>
      </c>
      <c r="I104" s="2" t="s">
        <v>24</v>
      </c>
      <c r="J104" s="2" t="s">
        <v>682</v>
      </c>
      <c r="K104" s="2" t="s">
        <v>683</v>
      </c>
      <c r="L104" s="2" t="s">
        <v>91</v>
      </c>
      <c r="M104" s="2" t="s">
        <v>684</v>
      </c>
      <c r="N104" s="2" t="s">
        <v>685</v>
      </c>
      <c r="O104" s="2" t="s">
        <v>72</v>
      </c>
      <c r="P104" s="2" t="s">
        <v>73</v>
      </c>
      <c r="Q104" s="2" t="s">
        <v>74</v>
      </c>
      <c r="R104" s="2" t="s">
        <v>686</v>
      </c>
      <c r="S104" s="2" t="s">
        <v>464</v>
      </c>
      <c r="T104" s="2" t="s">
        <v>35</v>
      </c>
    </row>
    <row r="105" customFormat="false" ht="23.85" hidden="false" customHeight="false" outlineLevel="0" collapsed="false">
      <c r="A105" s="2" t="n">
        <v>52</v>
      </c>
      <c r="B105" s="3" t="n">
        <f aca="false">Settings!$B$3+A105-1</f>
        <v>46365</v>
      </c>
      <c r="C105" s="2" t="str">
        <f aca="false">TEXT(B105,"ddd")</f>
        <v>Wed</v>
      </c>
      <c r="D105" s="2" t="s">
        <v>36</v>
      </c>
      <c r="E105" s="2" t="str">
        <f aca="false">Settings!$B$5</f>
        <v>18:30</v>
      </c>
      <c r="F105" s="2" t="s">
        <v>687</v>
      </c>
      <c r="G105" s="2" t="s">
        <v>458</v>
      </c>
      <c r="H105" s="2" t="s">
        <v>78</v>
      </c>
      <c r="I105" s="2" t="s">
        <v>79</v>
      </c>
      <c r="J105" s="2" t="s">
        <v>688</v>
      </c>
      <c r="K105" s="2" t="s">
        <v>689</v>
      </c>
      <c r="L105" s="2" t="s">
        <v>254</v>
      </c>
      <c r="M105" s="2" t="s">
        <v>690</v>
      </c>
      <c r="N105" s="2" t="s">
        <v>691</v>
      </c>
      <c r="O105" s="2" t="s">
        <v>379</v>
      </c>
      <c r="P105" s="2" t="s">
        <v>62</v>
      </c>
      <c r="Q105" s="2" t="s">
        <v>63</v>
      </c>
      <c r="R105" s="2" t="s">
        <v>692</v>
      </c>
      <c r="S105" s="2" t="s">
        <v>259</v>
      </c>
      <c r="T105" s="2" t="s">
        <v>35</v>
      </c>
    </row>
    <row r="106" customFormat="false" ht="23.85" hidden="false" customHeight="false" outlineLevel="0" collapsed="false">
      <c r="A106" s="2" t="n">
        <v>53</v>
      </c>
      <c r="B106" s="3" t="n">
        <f aca="false">Settings!$B$3+A106-1</f>
        <v>46366</v>
      </c>
      <c r="C106" s="2" t="str">
        <f aca="false">TEXT(B106,"ddd")</f>
        <v>Thu</v>
      </c>
      <c r="D106" s="2" t="s">
        <v>20</v>
      </c>
      <c r="E106" s="2" t="str">
        <f aca="false">Settings!$B$4</f>
        <v>06:30</v>
      </c>
      <c r="F106" s="2" t="s">
        <v>693</v>
      </c>
      <c r="G106" s="2" t="s">
        <v>458</v>
      </c>
      <c r="H106" s="2" t="s">
        <v>23</v>
      </c>
      <c r="I106" s="2" t="s">
        <v>24</v>
      </c>
      <c r="J106" s="2" t="s">
        <v>694</v>
      </c>
      <c r="K106" s="2" t="s">
        <v>695</v>
      </c>
      <c r="L106" s="2" t="s">
        <v>58</v>
      </c>
      <c r="M106" s="2" t="s">
        <v>696</v>
      </c>
      <c r="N106" s="2" t="s">
        <v>697</v>
      </c>
      <c r="O106" s="2" t="s">
        <v>121</v>
      </c>
      <c r="P106" s="2" t="s">
        <v>62</v>
      </c>
      <c r="Q106" s="2" t="s">
        <v>63</v>
      </c>
      <c r="R106" s="2" t="s">
        <v>698</v>
      </c>
      <c r="S106" s="2" t="s">
        <v>65</v>
      </c>
      <c r="T106" s="2" t="s">
        <v>35</v>
      </c>
    </row>
    <row r="107" customFormat="false" ht="23.85" hidden="false" customHeight="false" outlineLevel="0" collapsed="false">
      <c r="A107" s="2" t="n">
        <v>53</v>
      </c>
      <c r="B107" s="3" t="n">
        <f aca="false">Settings!$B$3+A107-1</f>
        <v>46366</v>
      </c>
      <c r="C107" s="2" t="str">
        <f aca="false">TEXT(B107,"ddd")</f>
        <v>Thu</v>
      </c>
      <c r="D107" s="2" t="s">
        <v>36</v>
      </c>
      <c r="E107" s="2" t="str">
        <f aca="false">Settings!$B$5</f>
        <v>18:30</v>
      </c>
      <c r="F107" s="2" t="s">
        <v>699</v>
      </c>
      <c r="G107" s="2" t="s">
        <v>458</v>
      </c>
      <c r="H107" s="2" t="s">
        <v>98</v>
      </c>
      <c r="I107" s="2" t="s">
        <v>24</v>
      </c>
      <c r="J107" s="2" t="s">
        <v>700</v>
      </c>
      <c r="K107" s="2" t="s">
        <v>231</v>
      </c>
      <c r="L107" s="2" t="s">
        <v>82</v>
      </c>
      <c r="M107" s="2" t="s">
        <v>701</v>
      </c>
      <c r="N107" s="2" t="s">
        <v>102</v>
      </c>
      <c r="O107" s="2" t="s">
        <v>186</v>
      </c>
      <c r="P107" s="2" t="s">
        <v>62</v>
      </c>
      <c r="Q107" s="2" t="s">
        <v>104</v>
      </c>
      <c r="R107" s="2" t="s">
        <v>702</v>
      </c>
      <c r="S107" s="2" t="s">
        <v>106</v>
      </c>
      <c r="T107" s="2" t="s">
        <v>35</v>
      </c>
    </row>
    <row r="108" customFormat="false" ht="23.85" hidden="false" customHeight="false" outlineLevel="0" collapsed="false">
      <c r="A108" s="2" t="n">
        <v>54</v>
      </c>
      <c r="B108" s="3" t="n">
        <f aca="false">Settings!$B$3+A108-1</f>
        <v>46367</v>
      </c>
      <c r="C108" s="2" t="str">
        <f aca="false">TEXT(B108,"ddd")</f>
        <v>Fri</v>
      </c>
      <c r="D108" s="2" t="s">
        <v>20</v>
      </c>
      <c r="E108" s="2" t="str">
        <f aca="false">Settings!$B$4</f>
        <v>06:30</v>
      </c>
      <c r="F108" s="2" t="s">
        <v>703</v>
      </c>
      <c r="G108" s="2" t="s">
        <v>458</v>
      </c>
      <c r="H108" s="2" t="s">
        <v>108</v>
      </c>
      <c r="I108" s="2" t="s">
        <v>24</v>
      </c>
      <c r="J108" s="2" t="s">
        <v>704</v>
      </c>
      <c r="K108" s="2" t="s">
        <v>705</v>
      </c>
      <c r="L108" s="2" t="s">
        <v>91</v>
      </c>
      <c r="M108" s="2" t="s">
        <v>706</v>
      </c>
      <c r="N108" s="2" t="s">
        <v>707</v>
      </c>
      <c r="O108" s="2" t="s">
        <v>112</v>
      </c>
      <c r="P108" s="2" t="s">
        <v>113</v>
      </c>
      <c r="Q108" s="2" t="s">
        <v>74</v>
      </c>
      <c r="R108" s="2" t="s">
        <v>708</v>
      </c>
      <c r="S108" s="2" t="s">
        <v>709</v>
      </c>
      <c r="T108" s="2" t="s">
        <v>35</v>
      </c>
    </row>
    <row r="109" customFormat="false" ht="23.85" hidden="false" customHeight="false" outlineLevel="0" collapsed="false">
      <c r="A109" s="2" t="n">
        <v>54</v>
      </c>
      <c r="B109" s="3" t="n">
        <f aca="false">Settings!$B$3+A109-1</f>
        <v>46367</v>
      </c>
      <c r="C109" s="2" t="str">
        <f aca="false">TEXT(B109,"ddd")</f>
        <v>Fri</v>
      </c>
      <c r="D109" s="2" t="s">
        <v>36</v>
      </c>
      <c r="E109" s="2" t="str">
        <f aca="false">Settings!$B$5</f>
        <v>18:30</v>
      </c>
      <c r="F109" s="2" t="s">
        <v>710</v>
      </c>
      <c r="G109" s="2" t="s">
        <v>458</v>
      </c>
      <c r="H109" s="2" t="s">
        <v>48</v>
      </c>
      <c r="I109" s="2" t="s">
        <v>24</v>
      </c>
      <c r="J109" s="2" t="s">
        <v>442</v>
      </c>
      <c r="K109" s="2" t="s">
        <v>443</v>
      </c>
      <c r="L109" s="2" t="s">
        <v>155</v>
      </c>
      <c r="M109" s="2" t="s">
        <v>444</v>
      </c>
      <c r="N109" s="2" t="s">
        <v>445</v>
      </c>
      <c r="O109" s="2" t="s">
        <v>446</v>
      </c>
      <c r="P109" s="2" t="s">
        <v>62</v>
      </c>
      <c r="Q109" s="2" t="s">
        <v>447</v>
      </c>
      <c r="R109" s="2" t="s">
        <v>448</v>
      </c>
      <c r="S109" s="2" t="s">
        <v>449</v>
      </c>
      <c r="T109" s="2" t="s">
        <v>35</v>
      </c>
    </row>
    <row r="110" customFormat="false" ht="23.85" hidden="false" customHeight="false" outlineLevel="0" collapsed="false">
      <c r="A110" s="2" t="n">
        <v>55</v>
      </c>
      <c r="B110" s="3" t="n">
        <f aca="false">Settings!$B$3+A110-1</f>
        <v>46368</v>
      </c>
      <c r="C110" s="2" t="str">
        <f aca="false">TEXT(B110,"ddd")</f>
        <v>Sat</v>
      </c>
      <c r="D110" s="2" t="s">
        <v>20</v>
      </c>
      <c r="E110" s="2" t="str">
        <f aca="false">Settings!$B$4</f>
        <v>06:30</v>
      </c>
      <c r="F110" s="2" t="s">
        <v>711</v>
      </c>
      <c r="G110" s="2" t="s">
        <v>458</v>
      </c>
      <c r="H110" s="2" t="s">
        <v>23</v>
      </c>
      <c r="I110" s="2" t="s">
        <v>24</v>
      </c>
      <c r="J110" s="2" t="s">
        <v>712</v>
      </c>
      <c r="K110" s="2" t="s">
        <v>713</v>
      </c>
      <c r="L110" s="2" t="s">
        <v>82</v>
      </c>
      <c r="M110" s="2" t="s">
        <v>714</v>
      </c>
      <c r="N110" s="2" t="s">
        <v>715</v>
      </c>
      <c r="O110" s="2" t="s">
        <v>716</v>
      </c>
      <c r="P110" s="2" t="s">
        <v>62</v>
      </c>
      <c r="Q110" s="2" t="s">
        <v>63</v>
      </c>
      <c r="R110" s="2" t="s">
        <v>717</v>
      </c>
      <c r="S110" s="2" t="s">
        <v>87</v>
      </c>
      <c r="T110" s="2" t="s">
        <v>35</v>
      </c>
    </row>
    <row r="111" customFormat="false" ht="23.85" hidden="false" customHeight="false" outlineLevel="0" collapsed="false">
      <c r="A111" s="2" t="n">
        <v>55</v>
      </c>
      <c r="B111" s="3" t="n">
        <f aca="false">Settings!$B$3+A111-1</f>
        <v>46368</v>
      </c>
      <c r="C111" s="2" t="str">
        <f aca="false">TEXT(B111,"ddd")</f>
        <v>Sat</v>
      </c>
      <c r="D111" s="2" t="s">
        <v>36</v>
      </c>
      <c r="E111" s="2" t="str">
        <f aca="false">Settings!$B$5</f>
        <v>18:30</v>
      </c>
      <c r="F111" s="2" t="s">
        <v>718</v>
      </c>
      <c r="G111" s="2" t="s">
        <v>458</v>
      </c>
      <c r="H111" s="2" t="s">
        <v>38</v>
      </c>
      <c r="I111" s="2" t="s">
        <v>24</v>
      </c>
      <c r="J111" s="2" t="s">
        <v>719</v>
      </c>
      <c r="K111" s="2" t="s">
        <v>720</v>
      </c>
      <c r="L111" s="2" t="s">
        <v>126</v>
      </c>
      <c r="M111" s="2" t="s">
        <v>721</v>
      </c>
      <c r="N111" s="2" t="s">
        <v>722</v>
      </c>
      <c r="O111" s="2" t="s">
        <v>103</v>
      </c>
      <c r="P111" s="2" t="s">
        <v>62</v>
      </c>
      <c r="Q111" s="2" t="s">
        <v>63</v>
      </c>
      <c r="R111" s="2" t="s">
        <v>723</v>
      </c>
      <c r="S111" s="2" t="s">
        <v>131</v>
      </c>
      <c r="T111" s="2" t="s">
        <v>35</v>
      </c>
    </row>
    <row r="112" customFormat="false" ht="23.85" hidden="false" customHeight="false" outlineLevel="0" collapsed="false">
      <c r="A112" s="2" t="n">
        <v>56</v>
      </c>
      <c r="B112" s="3" t="n">
        <f aca="false">Settings!$B$3+A112-1</f>
        <v>46369</v>
      </c>
      <c r="C112" s="2" t="str">
        <f aca="false">TEXT(B112,"ddd")</f>
        <v>Sun</v>
      </c>
      <c r="D112" s="2" t="s">
        <v>20</v>
      </c>
      <c r="E112" s="2" t="str">
        <f aca="false">Settings!$B$4</f>
        <v>06:30</v>
      </c>
      <c r="F112" s="2" t="s">
        <v>724</v>
      </c>
      <c r="G112" s="2" t="s">
        <v>458</v>
      </c>
      <c r="H112" s="2" t="s">
        <v>140</v>
      </c>
      <c r="I112" s="2" t="s">
        <v>141</v>
      </c>
      <c r="J112" s="2" t="s">
        <v>725</v>
      </c>
      <c r="K112" s="2" t="s">
        <v>143</v>
      </c>
      <c r="L112" s="2" t="s">
        <v>144</v>
      </c>
      <c r="M112" s="2" t="s">
        <v>726</v>
      </c>
      <c r="N112" s="2" t="s">
        <v>146</v>
      </c>
      <c r="O112" s="2" t="s">
        <v>147</v>
      </c>
      <c r="P112" s="2" t="s">
        <v>148</v>
      </c>
      <c r="Q112" s="2" t="s">
        <v>45</v>
      </c>
      <c r="R112" s="2" t="s">
        <v>727</v>
      </c>
      <c r="S112" s="2" t="s">
        <v>150</v>
      </c>
      <c r="T112" s="2" t="s">
        <v>35</v>
      </c>
    </row>
    <row r="113" customFormat="false" ht="23.85" hidden="false" customHeight="false" outlineLevel="0" collapsed="false">
      <c r="A113" s="2" t="n">
        <v>56</v>
      </c>
      <c r="B113" s="3" t="n">
        <f aca="false">Settings!$B$3+A113-1</f>
        <v>46369</v>
      </c>
      <c r="C113" s="2" t="str">
        <f aca="false">TEXT(B113,"ddd")</f>
        <v>Sun</v>
      </c>
      <c r="D113" s="2" t="s">
        <v>36</v>
      </c>
      <c r="E113" s="2" t="str">
        <f aca="false">Settings!$B$5</f>
        <v>18:30</v>
      </c>
      <c r="F113" s="2" t="s">
        <v>728</v>
      </c>
      <c r="G113" s="2" t="s">
        <v>458</v>
      </c>
      <c r="H113" s="2" t="s">
        <v>48</v>
      </c>
      <c r="I113" s="2" t="s">
        <v>24</v>
      </c>
      <c r="J113" s="2" t="s">
        <v>442</v>
      </c>
      <c r="K113" s="2" t="s">
        <v>443</v>
      </c>
      <c r="L113" s="2" t="s">
        <v>155</v>
      </c>
      <c r="M113" s="2" t="s">
        <v>444</v>
      </c>
      <c r="N113" s="2" t="s">
        <v>445</v>
      </c>
      <c r="O113" s="2" t="s">
        <v>446</v>
      </c>
      <c r="P113" s="2" t="s">
        <v>62</v>
      </c>
      <c r="Q113" s="2" t="s">
        <v>447</v>
      </c>
      <c r="R113" s="2" t="s">
        <v>448</v>
      </c>
      <c r="S113" s="2" t="s">
        <v>449</v>
      </c>
      <c r="T113" s="2" t="s">
        <v>35</v>
      </c>
    </row>
    <row r="114" customFormat="false" ht="23.85" hidden="false" customHeight="false" outlineLevel="0" collapsed="false">
      <c r="A114" s="2" t="n">
        <v>57</v>
      </c>
      <c r="B114" s="3" t="n">
        <f aca="false">Settings!$B$3+A114-1</f>
        <v>46370</v>
      </c>
      <c r="C114" s="2" t="str">
        <f aca="false">TEXT(B114,"ddd")</f>
        <v>Mon</v>
      </c>
      <c r="D114" s="2" t="s">
        <v>20</v>
      </c>
      <c r="E114" s="2" t="str">
        <f aca="false">Settings!$B$4</f>
        <v>06:30</v>
      </c>
      <c r="F114" s="2" t="s">
        <v>729</v>
      </c>
      <c r="G114" s="2" t="s">
        <v>458</v>
      </c>
      <c r="H114" s="2" t="s">
        <v>23</v>
      </c>
      <c r="I114" s="2" t="s">
        <v>24</v>
      </c>
      <c r="J114" s="2" t="s">
        <v>730</v>
      </c>
      <c r="K114" s="2" t="s">
        <v>731</v>
      </c>
      <c r="L114" s="2" t="s">
        <v>224</v>
      </c>
      <c r="M114" s="2" t="s">
        <v>732</v>
      </c>
      <c r="N114" s="2" t="s">
        <v>733</v>
      </c>
      <c r="O114" s="2" t="s">
        <v>734</v>
      </c>
      <c r="P114" s="4" t="s">
        <v>31</v>
      </c>
      <c r="Q114" s="2" t="s">
        <v>32</v>
      </c>
      <c r="R114" s="2" t="s">
        <v>735</v>
      </c>
      <c r="S114" s="2" t="s">
        <v>228</v>
      </c>
      <c r="T114" s="2" t="s">
        <v>35</v>
      </c>
    </row>
    <row r="115" customFormat="false" ht="23.85" hidden="false" customHeight="false" outlineLevel="0" collapsed="false">
      <c r="A115" s="2" t="n">
        <v>57</v>
      </c>
      <c r="B115" s="3" t="n">
        <f aca="false">Settings!$B$3+A115-1</f>
        <v>46370</v>
      </c>
      <c r="C115" s="2" t="str">
        <f aca="false">TEXT(B115,"ddd")</f>
        <v>Mon</v>
      </c>
      <c r="D115" s="2" t="s">
        <v>36</v>
      </c>
      <c r="E115" s="2" t="str">
        <f aca="false">Settings!$B$5</f>
        <v>18:30</v>
      </c>
      <c r="F115" s="2" t="s">
        <v>736</v>
      </c>
      <c r="G115" s="2" t="s">
        <v>458</v>
      </c>
      <c r="H115" s="2" t="s">
        <v>38</v>
      </c>
      <c r="I115" s="2" t="s">
        <v>24</v>
      </c>
      <c r="J115" s="2" t="s">
        <v>737</v>
      </c>
      <c r="K115" s="2" t="s">
        <v>738</v>
      </c>
      <c r="L115" s="2" t="s">
        <v>27</v>
      </c>
      <c r="M115" s="2" t="s">
        <v>739</v>
      </c>
      <c r="N115" s="2" t="s">
        <v>740</v>
      </c>
      <c r="O115" s="2" t="s">
        <v>741</v>
      </c>
      <c r="P115" s="2" t="s">
        <v>44</v>
      </c>
      <c r="Q115" s="2" t="s">
        <v>45</v>
      </c>
      <c r="R115" s="2" t="s">
        <v>742</v>
      </c>
      <c r="S115" s="2" t="s">
        <v>34</v>
      </c>
      <c r="T115" s="2" t="s">
        <v>35</v>
      </c>
    </row>
    <row r="116" customFormat="false" ht="23.85" hidden="false" customHeight="false" outlineLevel="0" collapsed="false">
      <c r="A116" s="2" t="n">
        <v>58</v>
      </c>
      <c r="B116" s="3" t="n">
        <f aca="false">Settings!$B$3+A116-1</f>
        <v>46371</v>
      </c>
      <c r="C116" s="2" t="str">
        <f aca="false">TEXT(B116,"ddd")</f>
        <v>Tue</v>
      </c>
      <c r="D116" s="2" t="s">
        <v>20</v>
      </c>
      <c r="E116" s="2" t="str">
        <f aca="false">Settings!$B$4</f>
        <v>06:30</v>
      </c>
      <c r="F116" s="2" t="s">
        <v>743</v>
      </c>
      <c r="G116" s="2" t="s">
        <v>458</v>
      </c>
      <c r="H116" s="2" t="s">
        <v>48</v>
      </c>
      <c r="I116" s="2" t="s">
        <v>24</v>
      </c>
      <c r="J116" s="2" t="s">
        <v>442</v>
      </c>
      <c r="K116" s="2" t="s">
        <v>443</v>
      </c>
      <c r="L116" s="2" t="s">
        <v>155</v>
      </c>
      <c r="M116" s="2" t="s">
        <v>444</v>
      </c>
      <c r="N116" s="2" t="s">
        <v>445</v>
      </c>
      <c r="O116" s="2" t="s">
        <v>446</v>
      </c>
      <c r="P116" s="2" t="s">
        <v>62</v>
      </c>
      <c r="Q116" s="2" t="s">
        <v>447</v>
      </c>
      <c r="R116" s="2" t="s">
        <v>448</v>
      </c>
      <c r="S116" s="2" t="s">
        <v>449</v>
      </c>
      <c r="T116" s="2" t="s">
        <v>35</v>
      </c>
    </row>
    <row r="117" customFormat="false" ht="23.85" hidden="false" customHeight="false" outlineLevel="0" collapsed="false">
      <c r="A117" s="2" t="n">
        <v>58</v>
      </c>
      <c r="B117" s="3" t="n">
        <f aca="false">Settings!$B$3+A117-1</f>
        <v>46371</v>
      </c>
      <c r="C117" s="2" t="str">
        <f aca="false">TEXT(B117,"ddd")</f>
        <v>Tue</v>
      </c>
      <c r="D117" s="2" t="s">
        <v>36</v>
      </c>
      <c r="E117" s="2" t="str">
        <f aca="false">Settings!$B$5</f>
        <v>18:30</v>
      </c>
      <c r="F117" s="2" t="s">
        <v>744</v>
      </c>
      <c r="G117" s="2" t="s">
        <v>458</v>
      </c>
      <c r="H117" s="2" t="s">
        <v>23</v>
      </c>
      <c r="I117" s="2" t="s">
        <v>24</v>
      </c>
      <c r="J117" s="2" t="s">
        <v>745</v>
      </c>
      <c r="K117" s="2" t="s">
        <v>746</v>
      </c>
      <c r="L117" s="2" t="s">
        <v>91</v>
      </c>
      <c r="M117" s="2" t="s">
        <v>747</v>
      </c>
      <c r="N117" s="2" t="s">
        <v>748</v>
      </c>
      <c r="O117" s="2" t="s">
        <v>749</v>
      </c>
      <c r="P117" s="2" t="s">
        <v>62</v>
      </c>
      <c r="Q117" s="2" t="s">
        <v>63</v>
      </c>
      <c r="R117" s="2" t="s">
        <v>750</v>
      </c>
      <c r="S117" s="2" t="s">
        <v>96</v>
      </c>
      <c r="T117" s="2" t="s">
        <v>35</v>
      </c>
    </row>
    <row r="118" customFormat="false" ht="23.85" hidden="false" customHeight="false" outlineLevel="0" collapsed="false">
      <c r="A118" s="2" t="n">
        <v>59</v>
      </c>
      <c r="B118" s="3" t="n">
        <f aca="false">Settings!$B$3+A118-1</f>
        <v>46372</v>
      </c>
      <c r="C118" s="2" t="str">
        <f aca="false">TEXT(B118,"ddd")</f>
        <v>Wed</v>
      </c>
      <c r="D118" s="2" t="s">
        <v>20</v>
      </c>
      <c r="E118" s="2" t="str">
        <f aca="false">Settings!$B$4</f>
        <v>06:30</v>
      </c>
      <c r="F118" s="2" t="s">
        <v>751</v>
      </c>
      <c r="G118" s="2" t="s">
        <v>458</v>
      </c>
      <c r="H118" s="2" t="s">
        <v>67</v>
      </c>
      <c r="I118" s="2" t="s">
        <v>24</v>
      </c>
      <c r="J118" s="2" t="s">
        <v>752</v>
      </c>
      <c r="K118" s="2" t="s">
        <v>753</v>
      </c>
      <c r="L118" s="2" t="s">
        <v>82</v>
      </c>
      <c r="M118" s="2" t="s">
        <v>754</v>
      </c>
      <c r="N118" s="2" t="s">
        <v>755</v>
      </c>
      <c r="O118" s="2" t="s">
        <v>72</v>
      </c>
      <c r="P118" s="2" t="s">
        <v>62</v>
      </c>
      <c r="Q118" s="2" t="s">
        <v>74</v>
      </c>
      <c r="R118" s="2" t="s">
        <v>756</v>
      </c>
      <c r="S118" s="2" t="s">
        <v>287</v>
      </c>
      <c r="T118" s="2" t="s">
        <v>35</v>
      </c>
    </row>
    <row r="119" customFormat="false" ht="23.85" hidden="false" customHeight="false" outlineLevel="0" collapsed="false">
      <c r="A119" s="2" t="n">
        <v>59</v>
      </c>
      <c r="B119" s="3" t="n">
        <f aca="false">Settings!$B$3+A119-1</f>
        <v>46372</v>
      </c>
      <c r="C119" s="2" t="str">
        <f aca="false">TEXT(B119,"ddd")</f>
        <v>Wed</v>
      </c>
      <c r="D119" s="2" t="s">
        <v>36</v>
      </c>
      <c r="E119" s="2" t="str">
        <f aca="false">Settings!$B$5</f>
        <v>18:30</v>
      </c>
      <c r="F119" s="2" t="s">
        <v>757</v>
      </c>
      <c r="G119" s="2" t="s">
        <v>458</v>
      </c>
      <c r="H119" s="2" t="s">
        <v>78</v>
      </c>
      <c r="I119" s="2" t="s">
        <v>79</v>
      </c>
      <c r="J119" s="2" t="s">
        <v>758</v>
      </c>
      <c r="K119" s="2" t="s">
        <v>759</v>
      </c>
      <c r="L119" s="2" t="s">
        <v>224</v>
      </c>
      <c r="M119" s="2" t="s">
        <v>760</v>
      </c>
      <c r="N119" s="2" t="s">
        <v>761</v>
      </c>
      <c r="O119" s="2" t="s">
        <v>379</v>
      </c>
      <c r="P119" s="2" t="s">
        <v>31</v>
      </c>
      <c r="Q119" s="2" t="s">
        <v>32</v>
      </c>
      <c r="R119" s="2" t="s">
        <v>762</v>
      </c>
      <c r="S119" s="2" t="s">
        <v>228</v>
      </c>
      <c r="T119" s="2" t="s">
        <v>35</v>
      </c>
    </row>
    <row r="120" customFormat="false" ht="23.85" hidden="false" customHeight="false" outlineLevel="0" collapsed="false">
      <c r="A120" s="2" t="n">
        <v>60</v>
      </c>
      <c r="B120" s="3" t="n">
        <f aca="false">Settings!$B$3+A120-1</f>
        <v>46373</v>
      </c>
      <c r="C120" s="2" t="str">
        <f aca="false">TEXT(B120,"ddd")</f>
        <v>Thu</v>
      </c>
      <c r="D120" s="2" t="s">
        <v>20</v>
      </c>
      <c r="E120" s="2" t="str">
        <f aca="false">Settings!$B$4</f>
        <v>06:30</v>
      </c>
      <c r="F120" s="2" t="s">
        <v>763</v>
      </c>
      <c r="G120" s="2" t="s">
        <v>458</v>
      </c>
      <c r="H120" s="2" t="s">
        <v>23</v>
      </c>
      <c r="I120" s="2" t="s">
        <v>24</v>
      </c>
      <c r="J120" s="2" t="s">
        <v>764</v>
      </c>
      <c r="K120" s="2" t="s">
        <v>765</v>
      </c>
      <c r="L120" s="2" t="s">
        <v>82</v>
      </c>
      <c r="M120" s="2" t="s">
        <v>766</v>
      </c>
      <c r="N120" s="2" t="s">
        <v>767</v>
      </c>
      <c r="O120" s="2" t="s">
        <v>103</v>
      </c>
      <c r="P120" s="2" t="s">
        <v>62</v>
      </c>
      <c r="Q120" s="2" t="s">
        <v>63</v>
      </c>
      <c r="R120" s="2" t="s">
        <v>768</v>
      </c>
      <c r="S120" s="2" t="s">
        <v>87</v>
      </c>
      <c r="T120" s="2" t="s">
        <v>35</v>
      </c>
    </row>
    <row r="121" customFormat="false" ht="23.85" hidden="false" customHeight="false" outlineLevel="0" collapsed="false">
      <c r="A121" s="2" t="n">
        <v>60</v>
      </c>
      <c r="B121" s="3" t="n">
        <f aca="false">Settings!$B$3+A121-1</f>
        <v>46373</v>
      </c>
      <c r="C121" s="2" t="str">
        <f aca="false">TEXT(B121,"ddd")</f>
        <v>Thu</v>
      </c>
      <c r="D121" s="2" t="s">
        <v>36</v>
      </c>
      <c r="E121" s="2" t="str">
        <f aca="false">Settings!$B$5</f>
        <v>18:30</v>
      </c>
      <c r="F121" s="2" t="s">
        <v>769</v>
      </c>
      <c r="G121" s="2" t="s">
        <v>458</v>
      </c>
      <c r="H121" s="2" t="s">
        <v>98</v>
      </c>
      <c r="I121" s="2" t="s">
        <v>24</v>
      </c>
      <c r="J121" s="2" t="s">
        <v>770</v>
      </c>
      <c r="K121" s="2" t="s">
        <v>329</v>
      </c>
      <c r="L121" s="2" t="s">
        <v>183</v>
      </c>
      <c r="M121" s="2" t="s">
        <v>771</v>
      </c>
      <c r="N121" s="2" t="s">
        <v>102</v>
      </c>
      <c r="O121" s="2" t="s">
        <v>332</v>
      </c>
      <c r="P121" s="2" t="s">
        <v>44</v>
      </c>
      <c r="Q121" s="2" t="s">
        <v>104</v>
      </c>
      <c r="R121" s="2" t="s">
        <v>772</v>
      </c>
      <c r="S121" s="2" t="s">
        <v>773</v>
      </c>
      <c r="T121" s="2" t="s">
        <v>35</v>
      </c>
    </row>
    <row r="122" customFormat="false" ht="23.85" hidden="false" customHeight="false" outlineLevel="0" collapsed="false">
      <c r="A122" s="2" t="n">
        <v>61</v>
      </c>
      <c r="B122" s="3" t="n">
        <f aca="false">Settings!$B$3+A122-1</f>
        <v>46374</v>
      </c>
      <c r="C122" s="2" t="str">
        <f aca="false">TEXT(B122,"ddd")</f>
        <v>Fri</v>
      </c>
      <c r="D122" s="2" t="s">
        <v>20</v>
      </c>
      <c r="E122" s="2" t="str">
        <f aca="false">Settings!$B$4</f>
        <v>06:30</v>
      </c>
      <c r="F122" s="2" t="s">
        <v>774</v>
      </c>
      <c r="G122" s="2" t="s">
        <v>775</v>
      </c>
      <c r="H122" s="2" t="s">
        <v>108</v>
      </c>
      <c r="I122" s="2" t="s">
        <v>24</v>
      </c>
      <c r="J122" s="2" t="s">
        <v>776</v>
      </c>
      <c r="K122" s="2" t="s">
        <v>777</v>
      </c>
      <c r="L122" s="2" t="s">
        <v>27</v>
      </c>
      <c r="M122" s="2" t="s">
        <v>778</v>
      </c>
      <c r="N122" s="2" t="s">
        <v>779</v>
      </c>
      <c r="O122" s="2" t="s">
        <v>112</v>
      </c>
      <c r="P122" s="2" t="s">
        <v>113</v>
      </c>
      <c r="Q122" s="2" t="s">
        <v>74</v>
      </c>
      <c r="R122" s="2" t="s">
        <v>780</v>
      </c>
      <c r="S122" s="2" t="s">
        <v>115</v>
      </c>
      <c r="T122" s="2" t="s">
        <v>35</v>
      </c>
    </row>
    <row r="123" customFormat="false" ht="23.85" hidden="false" customHeight="false" outlineLevel="0" collapsed="false">
      <c r="A123" s="2" t="n">
        <v>61</v>
      </c>
      <c r="B123" s="3" t="n">
        <f aca="false">Settings!$B$3+A123-1</f>
        <v>46374</v>
      </c>
      <c r="C123" s="2" t="str">
        <f aca="false">TEXT(B123,"ddd")</f>
        <v>Fri</v>
      </c>
      <c r="D123" s="2" t="s">
        <v>36</v>
      </c>
      <c r="E123" s="2" t="str">
        <f aca="false">Settings!$B$5</f>
        <v>18:30</v>
      </c>
      <c r="F123" s="2" t="s">
        <v>781</v>
      </c>
      <c r="G123" s="2" t="s">
        <v>775</v>
      </c>
      <c r="H123" s="2" t="s">
        <v>48</v>
      </c>
      <c r="I123" s="2" t="s">
        <v>24</v>
      </c>
      <c r="J123" s="2" t="s">
        <v>442</v>
      </c>
      <c r="K123" s="2" t="s">
        <v>443</v>
      </c>
      <c r="L123" s="2" t="s">
        <v>155</v>
      </c>
      <c r="M123" s="2" t="s">
        <v>444</v>
      </c>
      <c r="N123" s="2" t="s">
        <v>445</v>
      </c>
      <c r="O123" s="2" t="s">
        <v>446</v>
      </c>
      <c r="P123" s="2" t="s">
        <v>62</v>
      </c>
      <c r="Q123" s="2" t="s">
        <v>447</v>
      </c>
      <c r="R123" s="2" t="s">
        <v>448</v>
      </c>
      <c r="S123" s="2" t="s">
        <v>449</v>
      </c>
      <c r="T123" s="2" t="s">
        <v>35</v>
      </c>
    </row>
    <row r="124" customFormat="false" ht="23.85" hidden="false" customHeight="false" outlineLevel="0" collapsed="false">
      <c r="A124" s="2" t="n">
        <v>62</v>
      </c>
      <c r="B124" s="3" t="n">
        <f aca="false">Settings!$B$3+A124-1</f>
        <v>46375</v>
      </c>
      <c r="C124" s="2" t="str">
        <f aca="false">TEXT(B124,"ddd")</f>
        <v>Sat</v>
      </c>
      <c r="D124" s="2" t="s">
        <v>20</v>
      </c>
      <c r="E124" s="2" t="str">
        <f aca="false">Settings!$B$4</f>
        <v>06:30</v>
      </c>
      <c r="F124" s="2" t="s">
        <v>782</v>
      </c>
      <c r="G124" s="2" t="s">
        <v>775</v>
      </c>
      <c r="H124" s="2" t="s">
        <v>23</v>
      </c>
      <c r="I124" s="2" t="s">
        <v>24</v>
      </c>
      <c r="J124" s="2" t="s">
        <v>56</v>
      </c>
      <c r="K124" s="2" t="s">
        <v>57</v>
      </c>
      <c r="L124" s="2" t="s">
        <v>58</v>
      </c>
      <c r="M124" s="2" t="s">
        <v>783</v>
      </c>
      <c r="N124" s="2" t="s">
        <v>784</v>
      </c>
      <c r="O124" s="2" t="s">
        <v>61</v>
      </c>
      <c r="P124" s="2" t="s">
        <v>62</v>
      </c>
      <c r="Q124" s="2" t="s">
        <v>63</v>
      </c>
      <c r="R124" s="2" t="s">
        <v>785</v>
      </c>
      <c r="S124" s="2" t="s">
        <v>65</v>
      </c>
      <c r="T124" s="2" t="s">
        <v>35</v>
      </c>
    </row>
    <row r="125" customFormat="false" ht="23.85" hidden="false" customHeight="false" outlineLevel="0" collapsed="false">
      <c r="A125" s="2" t="n">
        <v>62</v>
      </c>
      <c r="B125" s="3" t="n">
        <f aca="false">Settings!$B$3+A125-1</f>
        <v>46375</v>
      </c>
      <c r="C125" s="2" t="str">
        <f aca="false">TEXT(B125,"ddd")</f>
        <v>Sat</v>
      </c>
      <c r="D125" s="2" t="s">
        <v>36</v>
      </c>
      <c r="E125" s="2" t="str">
        <f aca="false">Settings!$B$5</f>
        <v>18:30</v>
      </c>
      <c r="F125" s="2" t="s">
        <v>786</v>
      </c>
      <c r="G125" s="2" t="s">
        <v>775</v>
      </c>
      <c r="H125" s="2" t="s">
        <v>38</v>
      </c>
      <c r="I125" s="2" t="s">
        <v>24</v>
      </c>
      <c r="J125" s="2" t="s">
        <v>787</v>
      </c>
      <c r="K125" s="2" t="s">
        <v>788</v>
      </c>
      <c r="L125" s="2" t="s">
        <v>27</v>
      </c>
      <c r="M125" s="2" t="s">
        <v>789</v>
      </c>
      <c r="N125" s="2" t="s">
        <v>790</v>
      </c>
      <c r="O125" s="2" t="s">
        <v>121</v>
      </c>
      <c r="P125" s="2" t="s">
        <v>62</v>
      </c>
      <c r="Q125" s="2" t="s">
        <v>63</v>
      </c>
      <c r="R125" s="2" t="s">
        <v>791</v>
      </c>
      <c r="S125" s="2" t="s">
        <v>34</v>
      </c>
      <c r="T125" s="2" t="s">
        <v>35</v>
      </c>
    </row>
    <row r="126" customFormat="false" ht="23.85" hidden="false" customHeight="false" outlineLevel="0" collapsed="false">
      <c r="A126" s="2" t="n">
        <v>63</v>
      </c>
      <c r="B126" s="3" t="n">
        <f aca="false">Settings!$B$3+A126-1</f>
        <v>46376</v>
      </c>
      <c r="C126" s="2" t="str">
        <f aca="false">TEXT(B126,"ddd")</f>
        <v>Sun</v>
      </c>
      <c r="D126" s="2" t="s">
        <v>20</v>
      </c>
      <c r="E126" s="2" t="str">
        <f aca="false">Settings!$B$4</f>
        <v>06:30</v>
      </c>
      <c r="F126" s="2" t="s">
        <v>792</v>
      </c>
      <c r="G126" s="2" t="s">
        <v>775</v>
      </c>
      <c r="H126" s="2" t="s">
        <v>140</v>
      </c>
      <c r="I126" s="2" t="s">
        <v>141</v>
      </c>
      <c r="J126" s="2" t="s">
        <v>793</v>
      </c>
      <c r="K126" s="2" t="s">
        <v>143</v>
      </c>
      <c r="L126" s="2" t="s">
        <v>144</v>
      </c>
      <c r="M126" s="2" t="s">
        <v>794</v>
      </c>
      <c r="N126" s="2" t="s">
        <v>146</v>
      </c>
      <c r="O126" s="2" t="s">
        <v>147</v>
      </c>
      <c r="P126" s="2" t="s">
        <v>148</v>
      </c>
      <c r="Q126" s="2" t="s">
        <v>45</v>
      </c>
      <c r="R126" s="2" t="s">
        <v>795</v>
      </c>
      <c r="S126" s="2" t="s">
        <v>150</v>
      </c>
      <c r="T126" s="2" t="s">
        <v>35</v>
      </c>
    </row>
    <row r="127" customFormat="false" ht="23.85" hidden="false" customHeight="false" outlineLevel="0" collapsed="false">
      <c r="A127" s="2" t="n">
        <v>63</v>
      </c>
      <c r="B127" s="3" t="n">
        <f aca="false">Settings!$B$3+A127-1</f>
        <v>46376</v>
      </c>
      <c r="C127" s="2" t="str">
        <f aca="false">TEXT(B127,"ddd")</f>
        <v>Sun</v>
      </c>
      <c r="D127" s="2" t="s">
        <v>36</v>
      </c>
      <c r="E127" s="2" t="str">
        <f aca="false">Settings!$B$5</f>
        <v>18:30</v>
      </c>
      <c r="F127" s="2" t="s">
        <v>796</v>
      </c>
      <c r="G127" s="2" t="s">
        <v>775</v>
      </c>
      <c r="H127" s="2" t="s">
        <v>152</v>
      </c>
      <c r="I127" s="2" t="s">
        <v>79</v>
      </c>
      <c r="J127" s="2" t="s">
        <v>797</v>
      </c>
      <c r="K127" s="2" t="s">
        <v>154</v>
      </c>
      <c r="L127" s="2" t="s">
        <v>155</v>
      </c>
      <c r="M127" s="2" t="s">
        <v>798</v>
      </c>
      <c r="N127" s="2" t="s">
        <v>799</v>
      </c>
      <c r="O127" s="2" t="s">
        <v>158</v>
      </c>
      <c r="P127" s="2" t="s">
        <v>148</v>
      </c>
      <c r="Q127" s="2" t="s">
        <v>45</v>
      </c>
      <c r="R127" s="2" t="s">
        <v>800</v>
      </c>
      <c r="S127" s="2" t="s">
        <v>160</v>
      </c>
      <c r="T127" s="2" t="s">
        <v>35</v>
      </c>
    </row>
    <row r="128" customFormat="false" ht="23.85" hidden="false" customHeight="false" outlineLevel="0" collapsed="false">
      <c r="A128" s="2" t="n">
        <v>64</v>
      </c>
      <c r="B128" s="3" t="n">
        <f aca="false">Settings!$B$3+A128-1</f>
        <v>46377</v>
      </c>
      <c r="C128" s="2" t="str">
        <f aca="false">TEXT(B128,"ddd")</f>
        <v>Mon</v>
      </c>
      <c r="D128" s="2" t="s">
        <v>20</v>
      </c>
      <c r="E128" s="2" t="str">
        <f aca="false">Settings!$B$4</f>
        <v>06:30</v>
      </c>
      <c r="F128" s="2" t="s">
        <v>801</v>
      </c>
      <c r="G128" s="2" t="s">
        <v>775</v>
      </c>
      <c r="H128" s="2" t="s">
        <v>23</v>
      </c>
      <c r="I128" s="2" t="s">
        <v>24</v>
      </c>
      <c r="J128" s="2" t="s">
        <v>89</v>
      </c>
      <c r="K128" s="2" t="s">
        <v>90</v>
      </c>
      <c r="L128" s="2" t="s">
        <v>91</v>
      </c>
      <c r="M128" s="2" t="s">
        <v>802</v>
      </c>
      <c r="N128" s="2" t="s">
        <v>784</v>
      </c>
      <c r="O128" s="2" t="s">
        <v>94</v>
      </c>
      <c r="P128" s="4" t="s">
        <v>31</v>
      </c>
      <c r="Q128" s="2" t="s">
        <v>32</v>
      </c>
      <c r="R128" s="2" t="s">
        <v>803</v>
      </c>
      <c r="S128" s="2" t="s">
        <v>96</v>
      </c>
      <c r="T128" s="2" t="s">
        <v>35</v>
      </c>
    </row>
    <row r="129" customFormat="false" ht="23.85" hidden="false" customHeight="false" outlineLevel="0" collapsed="false">
      <c r="A129" s="2" t="n">
        <v>64</v>
      </c>
      <c r="B129" s="3" t="n">
        <f aca="false">Settings!$B$3+A129-1</f>
        <v>46377</v>
      </c>
      <c r="C129" s="2" t="str">
        <f aca="false">TEXT(B129,"ddd")</f>
        <v>Mon</v>
      </c>
      <c r="D129" s="2" t="s">
        <v>36</v>
      </c>
      <c r="E129" s="2" t="str">
        <f aca="false">Settings!$B$5</f>
        <v>18:30</v>
      </c>
      <c r="F129" s="2" t="s">
        <v>804</v>
      </c>
      <c r="G129" s="2" t="s">
        <v>775</v>
      </c>
      <c r="H129" s="2" t="s">
        <v>38</v>
      </c>
      <c r="I129" s="2" t="s">
        <v>24</v>
      </c>
      <c r="J129" s="2" t="s">
        <v>805</v>
      </c>
      <c r="K129" s="2" t="s">
        <v>806</v>
      </c>
      <c r="L129" s="2" t="s">
        <v>27</v>
      </c>
      <c r="M129" s="2" t="s">
        <v>807</v>
      </c>
      <c r="N129" s="2" t="s">
        <v>808</v>
      </c>
      <c r="O129" s="2" t="s">
        <v>809</v>
      </c>
      <c r="P129" s="2" t="s">
        <v>62</v>
      </c>
      <c r="Q129" s="2" t="s">
        <v>63</v>
      </c>
      <c r="R129" s="2" t="s">
        <v>810</v>
      </c>
      <c r="S129" s="2" t="s">
        <v>34</v>
      </c>
      <c r="T129" s="2" t="s">
        <v>35</v>
      </c>
    </row>
    <row r="130" customFormat="false" ht="23.85" hidden="false" customHeight="false" outlineLevel="0" collapsed="false">
      <c r="A130" s="2" t="n">
        <v>65</v>
      </c>
      <c r="B130" s="3" t="n">
        <f aca="false">Settings!$B$3+A130-1</f>
        <v>46378</v>
      </c>
      <c r="C130" s="2" t="str">
        <f aca="false">TEXT(B130,"ddd")</f>
        <v>Tue</v>
      </c>
      <c r="D130" s="2" t="s">
        <v>20</v>
      </c>
      <c r="E130" s="2" t="str">
        <f aca="false">Settings!$B$4</f>
        <v>06:30</v>
      </c>
      <c r="F130" s="2" t="s">
        <v>811</v>
      </c>
      <c r="G130" s="2" t="s">
        <v>775</v>
      </c>
      <c r="H130" s="2" t="s">
        <v>48</v>
      </c>
      <c r="I130" s="2" t="s">
        <v>24</v>
      </c>
      <c r="J130" s="2" t="s">
        <v>442</v>
      </c>
      <c r="K130" s="2" t="s">
        <v>443</v>
      </c>
      <c r="L130" s="2" t="s">
        <v>155</v>
      </c>
      <c r="M130" s="2" t="s">
        <v>444</v>
      </c>
      <c r="N130" s="2" t="s">
        <v>445</v>
      </c>
      <c r="O130" s="2" t="s">
        <v>446</v>
      </c>
      <c r="P130" s="2" t="s">
        <v>62</v>
      </c>
      <c r="Q130" s="2" t="s">
        <v>447</v>
      </c>
      <c r="R130" s="2" t="s">
        <v>448</v>
      </c>
      <c r="S130" s="2" t="s">
        <v>449</v>
      </c>
      <c r="T130" s="2" t="s">
        <v>35</v>
      </c>
    </row>
    <row r="131" customFormat="false" ht="23.85" hidden="false" customHeight="false" outlineLevel="0" collapsed="false">
      <c r="A131" s="2" t="n">
        <v>65</v>
      </c>
      <c r="B131" s="3" t="n">
        <f aca="false">Settings!$B$3+A131-1</f>
        <v>46378</v>
      </c>
      <c r="C131" s="2" t="str">
        <f aca="false">TEXT(B131,"ddd")</f>
        <v>Tue</v>
      </c>
      <c r="D131" s="2" t="s">
        <v>36</v>
      </c>
      <c r="E131" s="2" t="str">
        <f aca="false">Settings!$B$5</f>
        <v>18:30</v>
      </c>
      <c r="F131" s="2" t="s">
        <v>812</v>
      </c>
      <c r="G131" s="2" t="s">
        <v>775</v>
      </c>
      <c r="H131" s="2" t="s">
        <v>23</v>
      </c>
      <c r="I131" s="2" t="s">
        <v>24</v>
      </c>
      <c r="J131" s="2" t="s">
        <v>813</v>
      </c>
      <c r="K131" s="2" t="s">
        <v>814</v>
      </c>
      <c r="L131" s="2" t="s">
        <v>91</v>
      </c>
      <c r="M131" s="2" t="s">
        <v>815</v>
      </c>
      <c r="N131" s="2" t="s">
        <v>816</v>
      </c>
      <c r="O131" s="2" t="s">
        <v>817</v>
      </c>
      <c r="P131" s="4" t="s">
        <v>31</v>
      </c>
      <c r="Q131" s="2" t="s">
        <v>32</v>
      </c>
      <c r="R131" s="2" t="s">
        <v>818</v>
      </c>
      <c r="S131" s="2" t="s">
        <v>96</v>
      </c>
      <c r="T131" s="2" t="s">
        <v>35</v>
      </c>
    </row>
    <row r="132" customFormat="false" ht="35.05" hidden="false" customHeight="false" outlineLevel="0" collapsed="false">
      <c r="A132" s="2" t="n">
        <v>66</v>
      </c>
      <c r="B132" s="3" t="n">
        <f aca="false">Settings!$B$3+A132-1</f>
        <v>46379</v>
      </c>
      <c r="C132" s="2" t="str">
        <f aca="false">TEXT(B132,"ddd")</f>
        <v>Wed</v>
      </c>
      <c r="D132" s="2" t="s">
        <v>20</v>
      </c>
      <c r="E132" s="2" t="str">
        <f aca="false">Settings!$B$4</f>
        <v>06:30</v>
      </c>
      <c r="F132" s="2" t="s">
        <v>819</v>
      </c>
      <c r="G132" s="2" t="s">
        <v>775</v>
      </c>
      <c r="H132" s="2" t="s">
        <v>67</v>
      </c>
      <c r="I132" s="2" t="s">
        <v>24</v>
      </c>
      <c r="J132" s="2" t="s">
        <v>820</v>
      </c>
      <c r="K132" s="2" t="s">
        <v>821</v>
      </c>
      <c r="L132" s="2" t="s">
        <v>224</v>
      </c>
      <c r="M132" s="2" t="s">
        <v>822</v>
      </c>
      <c r="N132" s="2" t="s">
        <v>823</v>
      </c>
      <c r="O132" s="2" t="s">
        <v>72</v>
      </c>
      <c r="P132" s="2" t="s">
        <v>824</v>
      </c>
      <c r="Q132" s="2" t="s">
        <v>74</v>
      </c>
      <c r="R132" s="2" t="s">
        <v>825</v>
      </c>
      <c r="S132" s="2" t="s">
        <v>826</v>
      </c>
      <c r="T132" s="2" t="s">
        <v>35</v>
      </c>
    </row>
    <row r="133" customFormat="false" ht="23.85" hidden="false" customHeight="false" outlineLevel="0" collapsed="false">
      <c r="A133" s="2" t="n">
        <v>66</v>
      </c>
      <c r="B133" s="3" t="n">
        <f aca="false">Settings!$B$3+A133-1</f>
        <v>46379</v>
      </c>
      <c r="C133" s="2" t="str">
        <f aca="false">TEXT(B133,"ddd")</f>
        <v>Wed</v>
      </c>
      <c r="D133" s="2" t="s">
        <v>36</v>
      </c>
      <c r="E133" s="2" t="str">
        <f aca="false">Settings!$B$5</f>
        <v>18:30</v>
      </c>
      <c r="F133" s="2" t="s">
        <v>827</v>
      </c>
      <c r="G133" s="2" t="s">
        <v>775</v>
      </c>
      <c r="H133" s="2" t="s">
        <v>78</v>
      </c>
      <c r="I133" s="2" t="s">
        <v>79</v>
      </c>
      <c r="J133" s="2" t="s">
        <v>828</v>
      </c>
      <c r="K133" s="2" t="s">
        <v>829</v>
      </c>
      <c r="L133" s="2" t="s">
        <v>58</v>
      </c>
      <c r="M133" s="2" t="s">
        <v>830</v>
      </c>
      <c r="N133" s="2" t="s">
        <v>831</v>
      </c>
      <c r="O133" s="2" t="s">
        <v>470</v>
      </c>
      <c r="P133" s="2" t="s">
        <v>44</v>
      </c>
      <c r="Q133" s="2" t="s">
        <v>45</v>
      </c>
      <c r="R133" s="2" t="s">
        <v>832</v>
      </c>
      <c r="S133" s="2" t="s">
        <v>65</v>
      </c>
      <c r="T133" s="2" t="s">
        <v>35</v>
      </c>
    </row>
    <row r="134" customFormat="false" ht="23.85" hidden="false" customHeight="false" outlineLevel="0" collapsed="false">
      <c r="A134" s="2" t="n">
        <v>67</v>
      </c>
      <c r="B134" s="3" t="n">
        <f aca="false">Settings!$B$3+A134-1</f>
        <v>46380</v>
      </c>
      <c r="C134" s="2" t="str">
        <f aca="false">TEXT(B134,"ddd")</f>
        <v>Thu</v>
      </c>
      <c r="D134" s="2" t="s">
        <v>20</v>
      </c>
      <c r="E134" s="2" t="str">
        <f aca="false">Settings!$B$4</f>
        <v>06:30</v>
      </c>
      <c r="F134" s="2" t="s">
        <v>833</v>
      </c>
      <c r="G134" s="2" t="s">
        <v>775</v>
      </c>
      <c r="H134" s="2" t="s">
        <v>23</v>
      </c>
      <c r="I134" s="2" t="s">
        <v>24</v>
      </c>
      <c r="J134" s="2" t="s">
        <v>834</v>
      </c>
      <c r="K134" s="2" t="s">
        <v>835</v>
      </c>
      <c r="L134" s="2" t="s">
        <v>224</v>
      </c>
      <c r="M134" s="2" t="s">
        <v>836</v>
      </c>
      <c r="N134" s="2" t="s">
        <v>837</v>
      </c>
      <c r="O134" s="2" t="s">
        <v>817</v>
      </c>
      <c r="P134" s="4" t="s">
        <v>31</v>
      </c>
      <c r="Q134" s="2" t="s">
        <v>32</v>
      </c>
      <c r="R134" s="2" t="s">
        <v>838</v>
      </c>
      <c r="S134" s="2" t="s">
        <v>228</v>
      </c>
      <c r="T134" s="2" t="s">
        <v>35</v>
      </c>
    </row>
    <row r="135" customFormat="false" ht="23.85" hidden="false" customHeight="false" outlineLevel="0" collapsed="false">
      <c r="A135" s="2" t="n">
        <v>67</v>
      </c>
      <c r="B135" s="3" t="n">
        <f aca="false">Settings!$B$3+A135-1</f>
        <v>46380</v>
      </c>
      <c r="C135" s="2" t="str">
        <f aca="false">TEXT(B135,"ddd")</f>
        <v>Thu</v>
      </c>
      <c r="D135" s="2" t="s">
        <v>36</v>
      </c>
      <c r="E135" s="2" t="str">
        <f aca="false">Settings!$B$5</f>
        <v>18:30</v>
      </c>
      <c r="F135" s="2" t="s">
        <v>839</v>
      </c>
      <c r="G135" s="2" t="s">
        <v>775</v>
      </c>
      <c r="H135" s="2" t="s">
        <v>98</v>
      </c>
      <c r="I135" s="2" t="s">
        <v>24</v>
      </c>
      <c r="J135" s="2" t="s">
        <v>840</v>
      </c>
      <c r="K135" s="2" t="s">
        <v>297</v>
      </c>
      <c r="L135" s="2" t="s">
        <v>58</v>
      </c>
      <c r="M135" s="2" t="s">
        <v>841</v>
      </c>
      <c r="N135" s="2" t="s">
        <v>102</v>
      </c>
      <c r="O135" s="2" t="s">
        <v>300</v>
      </c>
      <c r="P135" s="2" t="s">
        <v>62</v>
      </c>
      <c r="Q135" s="2" t="s">
        <v>104</v>
      </c>
      <c r="R135" s="2" t="s">
        <v>842</v>
      </c>
      <c r="S135" s="2" t="s">
        <v>306</v>
      </c>
      <c r="T135" s="2" t="s">
        <v>35</v>
      </c>
    </row>
    <row r="136" customFormat="false" ht="23.85" hidden="false" customHeight="false" outlineLevel="0" collapsed="false">
      <c r="A136" s="2" t="n">
        <v>68</v>
      </c>
      <c r="B136" s="3" t="n">
        <f aca="false">Settings!$B$3+A136-1</f>
        <v>46381</v>
      </c>
      <c r="C136" s="2" t="str">
        <f aca="false">TEXT(B136,"ddd")</f>
        <v>Fri</v>
      </c>
      <c r="D136" s="2" t="s">
        <v>20</v>
      </c>
      <c r="E136" s="2" t="str">
        <f aca="false">Settings!$B$4</f>
        <v>06:30</v>
      </c>
      <c r="F136" s="2" t="s">
        <v>843</v>
      </c>
      <c r="G136" s="2" t="s">
        <v>775</v>
      </c>
      <c r="H136" s="2" t="s">
        <v>108</v>
      </c>
      <c r="I136" s="2" t="s">
        <v>24</v>
      </c>
      <c r="J136" s="2" t="s">
        <v>844</v>
      </c>
      <c r="K136" s="2" t="s">
        <v>845</v>
      </c>
      <c r="L136" s="2" t="s">
        <v>27</v>
      </c>
      <c r="M136" s="2" t="s">
        <v>846</v>
      </c>
      <c r="N136" s="2" t="s">
        <v>847</v>
      </c>
      <c r="O136" s="2" t="s">
        <v>112</v>
      </c>
      <c r="P136" s="2" t="s">
        <v>113</v>
      </c>
      <c r="Q136" s="2" t="s">
        <v>74</v>
      </c>
      <c r="R136" s="2" t="s">
        <v>848</v>
      </c>
      <c r="S136" s="2" t="s">
        <v>115</v>
      </c>
      <c r="T136" s="2" t="s">
        <v>35</v>
      </c>
    </row>
    <row r="137" customFormat="false" ht="23.85" hidden="false" customHeight="false" outlineLevel="0" collapsed="false">
      <c r="A137" s="2" t="n">
        <v>68</v>
      </c>
      <c r="B137" s="3" t="n">
        <f aca="false">Settings!$B$3+A137-1</f>
        <v>46381</v>
      </c>
      <c r="C137" s="2" t="str">
        <f aca="false">TEXT(B137,"ddd")</f>
        <v>Fri</v>
      </c>
      <c r="D137" s="2" t="s">
        <v>36</v>
      </c>
      <c r="E137" s="2" t="str">
        <f aca="false">Settings!$B$5</f>
        <v>18:30</v>
      </c>
      <c r="F137" s="2" t="s">
        <v>849</v>
      </c>
      <c r="G137" s="2" t="s">
        <v>775</v>
      </c>
      <c r="H137" s="2" t="s">
        <v>48</v>
      </c>
      <c r="I137" s="2" t="s">
        <v>24</v>
      </c>
      <c r="J137" s="2" t="s">
        <v>442</v>
      </c>
      <c r="K137" s="2" t="s">
        <v>443</v>
      </c>
      <c r="L137" s="2" t="s">
        <v>155</v>
      </c>
      <c r="M137" s="2" t="s">
        <v>444</v>
      </c>
      <c r="N137" s="2" t="s">
        <v>445</v>
      </c>
      <c r="O137" s="2" t="s">
        <v>446</v>
      </c>
      <c r="P137" s="2" t="s">
        <v>62</v>
      </c>
      <c r="Q137" s="2" t="s">
        <v>447</v>
      </c>
      <c r="R137" s="2" t="s">
        <v>448</v>
      </c>
      <c r="S137" s="2" t="s">
        <v>449</v>
      </c>
      <c r="T137" s="2" t="s">
        <v>35</v>
      </c>
    </row>
    <row r="138" customFormat="false" ht="23.85" hidden="false" customHeight="false" outlineLevel="0" collapsed="false">
      <c r="A138" s="2" t="n">
        <v>69</v>
      </c>
      <c r="B138" s="3" t="n">
        <f aca="false">Settings!$B$3+A138-1</f>
        <v>46382</v>
      </c>
      <c r="C138" s="2" t="str">
        <f aca="false">TEXT(B138,"ddd")</f>
        <v>Sat</v>
      </c>
      <c r="D138" s="2" t="s">
        <v>20</v>
      </c>
      <c r="E138" s="2" t="str">
        <f aca="false">Settings!$B$4</f>
        <v>06:30</v>
      </c>
      <c r="F138" s="2" t="s">
        <v>850</v>
      </c>
      <c r="G138" s="2" t="s">
        <v>775</v>
      </c>
      <c r="H138" s="2" t="s">
        <v>23</v>
      </c>
      <c r="I138" s="2" t="s">
        <v>24</v>
      </c>
      <c r="J138" s="2" t="s">
        <v>851</v>
      </c>
      <c r="K138" s="2" t="s">
        <v>852</v>
      </c>
      <c r="L138" s="2" t="s">
        <v>82</v>
      </c>
      <c r="M138" s="2" t="s">
        <v>853</v>
      </c>
      <c r="N138" s="2" t="s">
        <v>854</v>
      </c>
      <c r="O138" s="2" t="s">
        <v>855</v>
      </c>
      <c r="P138" s="2" t="s">
        <v>62</v>
      </c>
      <c r="Q138" s="2" t="s">
        <v>63</v>
      </c>
      <c r="R138" s="2" t="s">
        <v>856</v>
      </c>
      <c r="S138" s="2" t="s">
        <v>87</v>
      </c>
      <c r="T138" s="2" t="s">
        <v>35</v>
      </c>
    </row>
    <row r="139" customFormat="false" ht="23.85" hidden="false" customHeight="false" outlineLevel="0" collapsed="false">
      <c r="A139" s="2" t="n">
        <v>69</v>
      </c>
      <c r="B139" s="3" t="n">
        <f aca="false">Settings!$B$3+A139-1</f>
        <v>46382</v>
      </c>
      <c r="C139" s="2" t="str">
        <f aca="false">TEXT(B139,"ddd")</f>
        <v>Sat</v>
      </c>
      <c r="D139" s="2" t="s">
        <v>36</v>
      </c>
      <c r="E139" s="2" t="str">
        <f aca="false">Settings!$B$5</f>
        <v>18:30</v>
      </c>
      <c r="F139" s="2" t="s">
        <v>857</v>
      </c>
      <c r="G139" s="2" t="s">
        <v>775</v>
      </c>
      <c r="H139" s="2" t="s">
        <v>38</v>
      </c>
      <c r="I139" s="2" t="s">
        <v>24</v>
      </c>
      <c r="J139" s="2" t="s">
        <v>858</v>
      </c>
      <c r="K139" s="2" t="s">
        <v>859</v>
      </c>
      <c r="L139" s="2" t="s">
        <v>58</v>
      </c>
      <c r="M139" s="2" t="s">
        <v>860</v>
      </c>
      <c r="N139" s="2" t="s">
        <v>861</v>
      </c>
      <c r="O139" s="2" t="s">
        <v>862</v>
      </c>
      <c r="P139" s="2" t="s">
        <v>62</v>
      </c>
      <c r="Q139" s="2" t="s">
        <v>63</v>
      </c>
      <c r="R139" s="2" t="s">
        <v>863</v>
      </c>
      <c r="S139" s="2" t="s">
        <v>65</v>
      </c>
      <c r="T139" s="2" t="s">
        <v>35</v>
      </c>
    </row>
    <row r="140" customFormat="false" ht="23.85" hidden="false" customHeight="false" outlineLevel="0" collapsed="false">
      <c r="A140" s="2" t="n">
        <v>70</v>
      </c>
      <c r="B140" s="3" t="n">
        <f aca="false">Settings!$B$3+A140-1</f>
        <v>46383</v>
      </c>
      <c r="C140" s="2" t="str">
        <f aca="false">TEXT(B140,"ddd")</f>
        <v>Sun</v>
      </c>
      <c r="D140" s="2" t="s">
        <v>20</v>
      </c>
      <c r="E140" s="2" t="str">
        <f aca="false">Settings!$B$4</f>
        <v>06:30</v>
      </c>
      <c r="F140" s="2" t="s">
        <v>864</v>
      </c>
      <c r="G140" s="2" t="s">
        <v>775</v>
      </c>
      <c r="H140" s="2" t="s">
        <v>140</v>
      </c>
      <c r="I140" s="2" t="s">
        <v>141</v>
      </c>
      <c r="J140" s="2" t="s">
        <v>865</v>
      </c>
      <c r="K140" s="2" t="s">
        <v>143</v>
      </c>
      <c r="L140" s="2" t="s">
        <v>144</v>
      </c>
      <c r="M140" s="2" t="s">
        <v>866</v>
      </c>
      <c r="N140" s="2" t="s">
        <v>146</v>
      </c>
      <c r="O140" s="2" t="s">
        <v>147</v>
      </c>
      <c r="P140" s="2" t="s">
        <v>148</v>
      </c>
      <c r="Q140" s="2" t="s">
        <v>45</v>
      </c>
      <c r="R140" s="2" t="s">
        <v>867</v>
      </c>
      <c r="S140" s="2" t="s">
        <v>150</v>
      </c>
      <c r="T140" s="2" t="s">
        <v>35</v>
      </c>
    </row>
    <row r="141" customFormat="false" ht="23.85" hidden="false" customHeight="false" outlineLevel="0" collapsed="false">
      <c r="A141" s="2" t="n">
        <v>70</v>
      </c>
      <c r="B141" s="3" t="n">
        <f aca="false">Settings!$B$3+A141-1</f>
        <v>46383</v>
      </c>
      <c r="C141" s="2" t="str">
        <f aca="false">TEXT(B141,"ddd")</f>
        <v>Sun</v>
      </c>
      <c r="D141" s="2" t="s">
        <v>36</v>
      </c>
      <c r="E141" s="2" t="str">
        <f aca="false">Settings!$B$5</f>
        <v>18:30</v>
      </c>
      <c r="F141" s="2" t="s">
        <v>868</v>
      </c>
      <c r="G141" s="2" t="s">
        <v>775</v>
      </c>
      <c r="H141" s="2" t="s">
        <v>48</v>
      </c>
      <c r="I141" s="2" t="s">
        <v>24</v>
      </c>
      <c r="J141" s="2" t="s">
        <v>442</v>
      </c>
      <c r="K141" s="2" t="s">
        <v>443</v>
      </c>
      <c r="L141" s="2" t="s">
        <v>155</v>
      </c>
      <c r="M141" s="2" t="s">
        <v>444</v>
      </c>
      <c r="N141" s="2" t="s">
        <v>445</v>
      </c>
      <c r="O141" s="2" t="s">
        <v>446</v>
      </c>
      <c r="P141" s="2" t="s">
        <v>62</v>
      </c>
      <c r="Q141" s="2" t="s">
        <v>447</v>
      </c>
      <c r="R141" s="2" t="s">
        <v>448</v>
      </c>
      <c r="S141" s="2" t="s">
        <v>449</v>
      </c>
      <c r="T141" s="2" t="s">
        <v>35</v>
      </c>
    </row>
    <row r="142" customFormat="false" ht="23.85" hidden="false" customHeight="false" outlineLevel="0" collapsed="false">
      <c r="A142" s="2" t="n">
        <v>71</v>
      </c>
      <c r="B142" s="3" t="n">
        <f aca="false">Settings!$B$3+A142-1</f>
        <v>46384</v>
      </c>
      <c r="C142" s="2" t="str">
        <f aca="false">TEXT(B142,"ddd")</f>
        <v>Mon</v>
      </c>
      <c r="D142" s="2" t="s">
        <v>20</v>
      </c>
      <c r="E142" s="2" t="str">
        <f aca="false">Settings!$B$4</f>
        <v>06:30</v>
      </c>
      <c r="F142" s="2" t="s">
        <v>869</v>
      </c>
      <c r="G142" s="2" t="s">
        <v>775</v>
      </c>
      <c r="H142" s="2" t="s">
        <v>23</v>
      </c>
      <c r="I142" s="2" t="s">
        <v>24</v>
      </c>
      <c r="J142" s="2" t="s">
        <v>870</v>
      </c>
      <c r="K142" s="2" t="s">
        <v>871</v>
      </c>
      <c r="L142" s="2" t="s">
        <v>91</v>
      </c>
      <c r="M142" s="2" t="s">
        <v>872</v>
      </c>
      <c r="N142" s="2" t="s">
        <v>873</v>
      </c>
      <c r="O142" s="2" t="s">
        <v>103</v>
      </c>
      <c r="P142" s="4" t="s">
        <v>31</v>
      </c>
      <c r="Q142" s="2" t="s">
        <v>32</v>
      </c>
      <c r="R142" s="2" t="s">
        <v>874</v>
      </c>
      <c r="S142" s="2" t="s">
        <v>96</v>
      </c>
      <c r="T142" s="2" t="s">
        <v>35</v>
      </c>
    </row>
    <row r="143" customFormat="false" ht="23.85" hidden="false" customHeight="false" outlineLevel="0" collapsed="false">
      <c r="A143" s="2" t="n">
        <v>71</v>
      </c>
      <c r="B143" s="3" t="n">
        <f aca="false">Settings!$B$3+A143-1</f>
        <v>46384</v>
      </c>
      <c r="C143" s="2" t="str">
        <f aca="false">TEXT(B143,"ddd")</f>
        <v>Mon</v>
      </c>
      <c r="D143" s="2" t="s">
        <v>36</v>
      </c>
      <c r="E143" s="2" t="str">
        <f aca="false">Settings!$B$5</f>
        <v>18:30</v>
      </c>
      <c r="F143" s="2" t="s">
        <v>875</v>
      </c>
      <c r="G143" s="2" t="s">
        <v>775</v>
      </c>
      <c r="H143" s="2" t="s">
        <v>38</v>
      </c>
      <c r="I143" s="2" t="s">
        <v>24</v>
      </c>
      <c r="J143" s="2" t="s">
        <v>876</v>
      </c>
      <c r="K143" s="2" t="s">
        <v>877</v>
      </c>
      <c r="L143" s="2" t="s">
        <v>224</v>
      </c>
      <c r="M143" s="2" t="s">
        <v>878</v>
      </c>
      <c r="N143" s="2" t="s">
        <v>879</v>
      </c>
      <c r="O143" s="2" t="s">
        <v>880</v>
      </c>
      <c r="P143" s="2" t="s">
        <v>62</v>
      </c>
      <c r="Q143" s="2" t="s">
        <v>63</v>
      </c>
      <c r="R143" s="2" t="s">
        <v>881</v>
      </c>
      <c r="S143" s="2" t="s">
        <v>228</v>
      </c>
      <c r="T143" s="2" t="s">
        <v>35</v>
      </c>
    </row>
    <row r="144" customFormat="false" ht="23.85" hidden="false" customHeight="false" outlineLevel="0" collapsed="false">
      <c r="A144" s="2" t="n">
        <v>72</v>
      </c>
      <c r="B144" s="3" t="n">
        <f aca="false">Settings!$B$3+A144-1</f>
        <v>46385</v>
      </c>
      <c r="C144" s="2" t="str">
        <f aca="false">TEXT(B144,"ddd")</f>
        <v>Tue</v>
      </c>
      <c r="D144" s="2" t="s">
        <v>20</v>
      </c>
      <c r="E144" s="2" t="str">
        <f aca="false">Settings!$B$4</f>
        <v>06:30</v>
      </c>
      <c r="F144" s="2" t="s">
        <v>882</v>
      </c>
      <c r="G144" s="2" t="s">
        <v>775</v>
      </c>
      <c r="H144" s="2" t="s">
        <v>48</v>
      </c>
      <c r="I144" s="2" t="s">
        <v>24</v>
      </c>
      <c r="J144" s="2" t="s">
        <v>442</v>
      </c>
      <c r="K144" s="2" t="s">
        <v>443</v>
      </c>
      <c r="L144" s="2" t="s">
        <v>155</v>
      </c>
      <c r="M144" s="2" t="s">
        <v>444</v>
      </c>
      <c r="N144" s="2" t="s">
        <v>445</v>
      </c>
      <c r="O144" s="2" t="s">
        <v>446</v>
      </c>
      <c r="P144" s="2" t="s">
        <v>62</v>
      </c>
      <c r="Q144" s="2" t="s">
        <v>447</v>
      </c>
      <c r="R144" s="2" t="s">
        <v>448</v>
      </c>
      <c r="S144" s="2" t="s">
        <v>449</v>
      </c>
      <c r="T144" s="2" t="s">
        <v>35</v>
      </c>
    </row>
    <row r="145" customFormat="false" ht="23.85" hidden="false" customHeight="false" outlineLevel="0" collapsed="false">
      <c r="A145" s="2" t="n">
        <v>72</v>
      </c>
      <c r="B145" s="3" t="n">
        <f aca="false">Settings!$B$3+A145-1</f>
        <v>46385</v>
      </c>
      <c r="C145" s="2" t="str">
        <f aca="false">TEXT(B145,"ddd")</f>
        <v>Tue</v>
      </c>
      <c r="D145" s="2" t="s">
        <v>36</v>
      </c>
      <c r="E145" s="2" t="str">
        <f aca="false">Settings!$B$5</f>
        <v>18:30</v>
      </c>
      <c r="F145" s="2" t="s">
        <v>883</v>
      </c>
      <c r="G145" s="2" t="s">
        <v>775</v>
      </c>
      <c r="H145" s="2" t="s">
        <v>23</v>
      </c>
      <c r="I145" s="2" t="s">
        <v>24</v>
      </c>
      <c r="J145" s="2" t="s">
        <v>181</v>
      </c>
      <c r="K145" s="2" t="s">
        <v>182</v>
      </c>
      <c r="L145" s="2" t="s">
        <v>183</v>
      </c>
      <c r="M145" s="2" t="s">
        <v>884</v>
      </c>
      <c r="N145" s="2" t="s">
        <v>784</v>
      </c>
      <c r="O145" s="2" t="s">
        <v>186</v>
      </c>
      <c r="P145" s="2" t="s">
        <v>62</v>
      </c>
      <c r="Q145" s="2" t="s">
        <v>63</v>
      </c>
      <c r="R145" s="2" t="s">
        <v>885</v>
      </c>
      <c r="S145" s="2" t="s">
        <v>188</v>
      </c>
      <c r="T145" s="2" t="s">
        <v>35</v>
      </c>
    </row>
    <row r="146" customFormat="false" ht="35.05" hidden="false" customHeight="false" outlineLevel="0" collapsed="false">
      <c r="A146" s="2" t="n">
        <v>73</v>
      </c>
      <c r="B146" s="3" t="n">
        <f aca="false">Settings!$B$3+A146-1</f>
        <v>46386</v>
      </c>
      <c r="C146" s="2" t="str">
        <f aca="false">TEXT(B146,"ddd")</f>
        <v>Wed</v>
      </c>
      <c r="D146" s="2" t="s">
        <v>20</v>
      </c>
      <c r="E146" s="2" t="str">
        <f aca="false">Settings!$B$4</f>
        <v>06:30</v>
      </c>
      <c r="F146" s="2" t="s">
        <v>886</v>
      </c>
      <c r="G146" s="2" t="s">
        <v>775</v>
      </c>
      <c r="H146" s="2" t="s">
        <v>67</v>
      </c>
      <c r="I146" s="2" t="s">
        <v>24</v>
      </c>
      <c r="J146" s="2" t="s">
        <v>887</v>
      </c>
      <c r="K146" s="2" t="s">
        <v>888</v>
      </c>
      <c r="L146" s="2" t="s">
        <v>126</v>
      </c>
      <c r="M146" s="2" t="s">
        <v>889</v>
      </c>
      <c r="N146" s="2" t="s">
        <v>890</v>
      </c>
      <c r="O146" s="2" t="s">
        <v>72</v>
      </c>
      <c r="P146" s="2" t="s">
        <v>285</v>
      </c>
      <c r="Q146" s="2" t="s">
        <v>74</v>
      </c>
      <c r="R146" s="2" t="s">
        <v>891</v>
      </c>
      <c r="S146" s="2" t="s">
        <v>612</v>
      </c>
      <c r="T146" s="2" t="s">
        <v>35</v>
      </c>
    </row>
    <row r="147" customFormat="false" ht="23.85" hidden="false" customHeight="false" outlineLevel="0" collapsed="false">
      <c r="A147" s="2" t="n">
        <v>73</v>
      </c>
      <c r="B147" s="3" t="n">
        <f aca="false">Settings!$B$3+A147-1</f>
        <v>46386</v>
      </c>
      <c r="C147" s="2" t="str">
        <f aca="false">TEXT(B147,"ddd")</f>
        <v>Wed</v>
      </c>
      <c r="D147" s="2" t="s">
        <v>36</v>
      </c>
      <c r="E147" s="2" t="str">
        <f aca="false">Settings!$B$5</f>
        <v>18:30</v>
      </c>
      <c r="F147" s="2" t="s">
        <v>892</v>
      </c>
      <c r="G147" s="2" t="s">
        <v>775</v>
      </c>
      <c r="H147" s="2" t="s">
        <v>78</v>
      </c>
      <c r="I147" s="2" t="s">
        <v>79</v>
      </c>
      <c r="J147" s="2" t="s">
        <v>893</v>
      </c>
      <c r="K147" s="2" t="s">
        <v>894</v>
      </c>
      <c r="L147" s="2" t="s">
        <v>224</v>
      </c>
      <c r="M147" s="2" t="s">
        <v>895</v>
      </c>
      <c r="N147" s="2" t="s">
        <v>896</v>
      </c>
      <c r="O147" s="2" t="s">
        <v>379</v>
      </c>
      <c r="P147" s="2" t="s">
        <v>62</v>
      </c>
      <c r="Q147" s="2" t="s">
        <v>63</v>
      </c>
      <c r="R147" s="2" t="s">
        <v>897</v>
      </c>
      <c r="S147" s="2" t="s">
        <v>228</v>
      </c>
      <c r="T147" s="2" t="s">
        <v>35</v>
      </c>
    </row>
    <row r="148" customFormat="false" ht="23.85" hidden="false" customHeight="false" outlineLevel="0" collapsed="false">
      <c r="A148" s="2" t="n">
        <v>74</v>
      </c>
      <c r="B148" s="3" t="n">
        <f aca="false">Settings!$B$3+A148-1</f>
        <v>46387</v>
      </c>
      <c r="C148" s="2" t="str">
        <f aca="false">TEXT(B148,"ddd")</f>
        <v>Thu</v>
      </c>
      <c r="D148" s="2" t="s">
        <v>20</v>
      </c>
      <c r="E148" s="2" t="str">
        <f aca="false">Settings!$B$4</f>
        <v>06:30</v>
      </c>
      <c r="F148" s="2" t="s">
        <v>898</v>
      </c>
      <c r="G148" s="2" t="s">
        <v>775</v>
      </c>
      <c r="H148" s="2" t="s">
        <v>23</v>
      </c>
      <c r="I148" s="2" t="s">
        <v>24</v>
      </c>
      <c r="J148" s="2" t="s">
        <v>230</v>
      </c>
      <c r="K148" s="2" t="s">
        <v>231</v>
      </c>
      <c r="L148" s="2" t="s">
        <v>82</v>
      </c>
      <c r="M148" s="2" t="s">
        <v>899</v>
      </c>
      <c r="N148" s="2" t="s">
        <v>784</v>
      </c>
      <c r="O148" s="2" t="s">
        <v>186</v>
      </c>
      <c r="P148" s="2" t="s">
        <v>62</v>
      </c>
      <c r="Q148" s="2" t="s">
        <v>63</v>
      </c>
      <c r="R148" s="2" t="s">
        <v>900</v>
      </c>
      <c r="S148" s="2" t="s">
        <v>87</v>
      </c>
      <c r="T148" s="2" t="s">
        <v>35</v>
      </c>
    </row>
    <row r="149" customFormat="false" ht="23.85" hidden="false" customHeight="false" outlineLevel="0" collapsed="false">
      <c r="A149" s="2" t="n">
        <v>74</v>
      </c>
      <c r="B149" s="3" t="n">
        <f aca="false">Settings!$B$3+A149-1</f>
        <v>46387</v>
      </c>
      <c r="C149" s="2" t="str">
        <f aca="false">TEXT(B149,"ddd")</f>
        <v>Thu</v>
      </c>
      <c r="D149" s="2" t="s">
        <v>36</v>
      </c>
      <c r="E149" s="2" t="str">
        <f aca="false">Settings!$B$5</f>
        <v>18:30</v>
      </c>
      <c r="F149" s="2" t="s">
        <v>901</v>
      </c>
      <c r="G149" s="2" t="s">
        <v>775</v>
      </c>
      <c r="H149" s="2" t="s">
        <v>98</v>
      </c>
      <c r="I149" s="2" t="s">
        <v>24</v>
      </c>
      <c r="J149" s="2" t="s">
        <v>902</v>
      </c>
      <c r="K149" s="2" t="s">
        <v>323</v>
      </c>
      <c r="L149" s="2" t="s">
        <v>82</v>
      </c>
      <c r="M149" s="2" t="s">
        <v>903</v>
      </c>
      <c r="N149" s="2" t="s">
        <v>102</v>
      </c>
      <c r="O149" s="2" t="s">
        <v>103</v>
      </c>
      <c r="P149" s="2" t="s">
        <v>62</v>
      </c>
      <c r="Q149" s="2" t="s">
        <v>104</v>
      </c>
      <c r="R149" s="2" t="s">
        <v>904</v>
      </c>
      <c r="S149" s="2" t="s">
        <v>106</v>
      </c>
      <c r="T149" s="2" t="s">
        <v>35</v>
      </c>
    </row>
    <row r="150" customFormat="false" ht="23.85" hidden="false" customHeight="false" outlineLevel="0" collapsed="false">
      <c r="A150" s="2" t="n">
        <v>75</v>
      </c>
      <c r="B150" s="3" t="n">
        <f aca="false">Settings!$B$3+A150-1</f>
        <v>46388</v>
      </c>
      <c r="C150" s="2" t="str">
        <f aca="false">TEXT(B150,"ddd")</f>
        <v>Fri</v>
      </c>
      <c r="D150" s="2" t="s">
        <v>20</v>
      </c>
      <c r="E150" s="2" t="str">
        <f aca="false">Settings!$B$4</f>
        <v>06:30</v>
      </c>
      <c r="F150" s="2" t="s">
        <v>905</v>
      </c>
      <c r="G150" s="2" t="s">
        <v>775</v>
      </c>
      <c r="H150" s="2" t="s">
        <v>108</v>
      </c>
      <c r="I150" s="2" t="s">
        <v>24</v>
      </c>
      <c r="J150" s="2" t="s">
        <v>906</v>
      </c>
      <c r="K150" s="2" t="s">
        <v>907</v>
      </c>
      <c r="L150" s="2" t="s">
        <v>183</v>
      </c>
      <c r="M150" s="2" t="s">
        <v>908</v>
      </c>
      <c r="N150" s="2" t="s">
        <v>909</v>
      </c>
      <c r="O150" s="2" t="s">
        <v>112</v>
      </c>
      <c r="P150" s="2" t="s">
        <v>113</v>
      </c>
      <c r="Q150" s="2" t="s">
        <v>74</v>
      </c>
      <c r="R150" s="2" t="s">
        <v>910</v>
      </c>
      <c r="S150" s="2" t="s">
        <v>911</v>
      </c>
      <c r="T150" s="2" t="s">
        <v>35</v>
      </c>
    </row>
    <row r="151" customFormat="false" ht="23.85" hidden="false" customHeight="false" outlineLevel="0" collapsed="false">
      <c r="A151" s="2" t="n">
        <v>75</v>
      </c>
      <c r="B151" s="3" t="n">
        <f aca="false">Settings!$B$3+A151-1</f>
        <v>46388</v>
      </c>
      <c r="C151" s="2" t="str">
        <f aca="false">TEXT(B151,"ddd")</f>
        <v>Fri</v>
      </c>
      <c r="D151" s="2" t="s">
        <v>36</v>
      </c>
      <c r="E151" s="2" t="str">
        <f aca="false">Settings!$B$5</f>
        <v>18:30</v>
      </c>
      <c r="F151" s="2" t="s">
        <v>912</v>
      </c>
      <c r="G151" s="2" t="s">
        <v>775</v>
      </c>
      <c r="H151" s="2" t="s">
        <v>48</v>
      </c>
      <c r="I151" s="2" t="s">
        <v>24</v>
      </c>
      <c r="J151" s="2" t="s">
        <v>442</v>
      </c>
      <c r="K151" s="2" t="s">
        <v>443</v>
      </c>
      <c r="L151" s="2" t="s">
        <v>155</v>
      </c>
      <c r="M151" s="2" t="s">
        <v>444</v>
      </c>
      <c r="N151" s="2" t="s">
        <v>445</v>
      </c>
      <c r="O151" s="2" t="s">
        <v>446</v>
      </c>
      <c r="P151" s="2" t="s">
        <v>62</v>
      </c>
      <c r="Q151" s="2" t="s">
        <v>447</v>
      </c>
      <c r="R151" s="2" t="s">
        <v>448</v>
      </c>
      <c r="S151" s="2" t="s">
        <v>449</v>
      </c>
      <c r="T151" s="2" t="s">
        <v>35</v>
      </c>
    </row>
    <row r="152" customFormat="false" ht="23.85" hidden="false" customHeight="false" outlineLevel="0" collapsed="false">
      <c r="A152" s="2" t="n">
        <v>76</v>
      </c>
      <c r="B152" s="3" t="n">
        <f aca="false">Settings!$B$3+A152-1</f>
        <v>46389</v>
      </c>
      <c r="C152" s="2" t="str">
        <f aca="false">TEXT(B152,"ddd")</f>
        <v>Sat</v>
      </c>
      <c r="D152" s="2" t="s">
        <v>20</v>
      </c>
      <c r="E152" s="2" t="str">
        <f aca="false">Settings!$B$4</f>
        <v>06:30</v>
      </c>
      <c r="F152" s="2" t="s">
        <v>913</v>
      </c>
      <c r="G152" s="2" t="s">
        <v>775</v>
      </c>
      <c r="H152" s="2" t="s">
        <v>23</v>
      </c>
      <c r="I152" s="2" t="s">
        <v>24</v>
      </c>
      <c r="J152" s="2" t="s">
        <v>252</v>
      </c>
      <c r="K152" s="2" t="s">
        <v>253</v>
      </c>
      <c r="L152" s="2" t="s">
        <v>254</v>
      </c>
      <c r="M152" s="2" t="s">
        <v>914</v>
      </c>
      <c r="N152" s="2" t="s">
        <v>784</v>
      </c>
      <c r="O152" s="2" t="s">
        <v>257</v>
      </c>
      <c r="P152" s="4" t="s">
        <v>31</v>
      </c>
      <c r="Q152" s="2" t="s">
        <v>32</v>
      </c>
      <c r="R152" s="2" t="s">
        <v>915</v>
      </c>
      <c r="S152" s="2" t="s">
        <v>259</v>
      </c>
      <c r="T152" s="2" t="s">
        <v>35</v>
      </c>
    </row>
    <row r="153" customFormat="false" ht="23.85" hidden="false" customHeight="false" outlineLevel="0" collapsed="false">
      <c r="A153" s="2" t="n">
        <v>76</v>
      </c>
      <c r="B153" s="3" t="n">
        <f aca="false">Settings!$B$3+A153-1</f>
        <v>46389</v>
      </c>
      <c r="C153" s="2" t="str">
        <f aca="false">TEXT(B153,"ddd")</f>
        <v>Sat</v>
      </c>
      <c r="D153" s="2" t="s">
        <v>36</v>
      </c>
      <c r="E153" s="2" t="str">
        <f aca="false">Settings!$B$5</f>
        <v>18:30</v>
      </c>
      <c r="F153" s="2" t="s">
        <v>916</v>
      </c>
      <c r="G153" s="2" t="s">
        <v>775</v>
      </c>
      <c r="H153" s="2" t="s">
        <v>38</v>
      </c>
      <c r="I153" s="2" t="s">
        <v>24</v>
      </c>
      <c r="J153" s="2" t="s">
        <v>917</v>
      </c>
      <c r="K153" s="2" t="s">
        <v>918</v>
      </c>
      <c r="L153" s="2" t="s">
        <v>224</v>
      </c>
      <c r="M153" s="2" t="s">
        <v>919</v>
      </c>
      <c r="N153" s="2" t="s">
        <v>920</v>
      </c>
      <c r="O153" s="2" t="s">
        <v>921</v>
      </c>
      <c r="P153" s="2" t="s">
        <v>62</v>
      </c>
      <c r="Q153" s="2" t="s">
        <v>63</v>
      </c>
      <c r="R153" s="2" t="s">
        <v>922</v>
      </c>
      <c r="S153" s="2" t="s">
        <v>228</v>
      </c>
      <c r="T153" s="2" t="s">
        <v>35</v>
      </c>
    </row>
    <row r="154" customFormat="false" ht="23.85" hidden="false" customHeight="false" outlineLevel="0" collapsed="false">
      <c r="A154" s="2" t="n">
        <v>77</v>
      </c>
      <c r="B154" s="3" t="n">
        <f aca="false">Settings!$B$3+A154-1</f>
        <v>46390</v>
      </c>
      <c r="C154" s="2" t="str">
        <f aca="false">TEXT(B154,"ddd")</f>
        <v>Sun</v>
      </c>
      <c r="D154" s="2" t="s">
        <v>20</v>
      </c>
      <c r="E154" s="2" t="str">
        <f aca="false">Settings!$B$4</f>
        <v>06:30</v>
      </c>
      <c r="F154" s="2" t="s">
        <v>923</v>
      </c>
      <c r="G154" s="2" t="s">
        <v>775</v>
      </c>
      <c r="H154" s="2" t="s">
        <v>140</v>
      </c>
      <c r="I154" s="2" t="s">
        <v>141</v>
      </c>
      <c r="J154" s="2" t="s">
        <v>924</v>
      </c>
      <c r="K154" s="2" t="s">
        <v>143</v>
      </c>
      <c r="L154" s="2" t="s">
        <v>144</v>
      </c>
      <c r="M154" s="2" t="s">
        <v>925</v>
      </c>
      <c r="N154" s="2" t="s">
        <v>146</v>
      </c>
      <c r="O154" s="2" t="s">
        <v>147</v>
      </c>
      <c r="P154" s="2" t="s">
        <v>148</v>
      </c>
      <c r="Q154" s="2" t="s">
        <v>45</v>
      </c>
      <c r="R154" s="2" t="s">
        <v>926</v>
      </c>
      <c r="S154" s="2" t="s">
        <v>150</v>
      </c>
      <c r="T154" s="2" t="s">
        <v>35</v>
      </c>
    </row>
    <row r="155" customFormat="false" ht="23.85" hidden="false" customHeight="false" outlineLevel="0" collapsed="false">
      <c r="A155" s="2" t="n">
        <v>77</v>
      </c>
      <c r="B155" s="3" t="n">
        <f aca="false">Settings!$B$3+A155-1</f>
        <v>46390</v>
      </c>
      <c r="C155" s="2" t="str">
        <f aca="false">TEXT(B155,"ddd")</f>
        <v>Sun</v>
      </c>
      <c r="D155" s="2" t="s">
        <v>36</v>
      </c>
      <c r="E155" s="2" t="str">
        <f aca="false">Settings!$B$5</f>
        <v>18:30</v>
      </c>
      <c r="F155" s="2" t="s">
        <v>927</v>
      </c>
      <c r="G155" s="2" t="s">
        <v>775</v>
      </c>
      <c r="H155" s="2" t="s">
        <v>152</v>
      </c>
      <c r="I155" s="2" t="s">
        <v>79</v>
      </c>
      <c r="J155" s="2" t="s">
        <v>928</v>
      </c>
      <c r="K155" s="2" t="s">
        <v>154</v>
      </c>
      <c r="L155" s="2" t="s">
        <v>155</v>
      </c>
      <c r="M155" s="2" t="s">
        <v>929</v>
      </c>
      <c r="N155" s="2" t="s">
        <v>930</v>
      </c>
      <c r="O155" s="2" t="s">
        <v>158</v>
      </c>
      <c r="P155" s="2" t="s">
        <v>148</v>
      </c>
      <c r="Q155" s="2" t="s">
        <v>45</v>
      </c>
      <c r="R155" s="2" t="s">
        <v>931</v>
      </c>
      <c r="S155" s="2" t="s">
        <v>160</v>
      </c>
      <c r="T155" s="2" t="s">
        <v>35</v>
      </c>
    </row>
    <row r="156" customFormat="false" ht="23.85" hidden="false" customHeight="false" outlineLevel="0" collapsed="false">
      <c r="A156" s="2" t="n">
        <v>78</v>
      </c>
      <c r="B156" s="3" t="n">
        <f aca="false">Settings!$B$3+A156-1</f>
        <v>46391</v>
      </c>
      <c r="C156" s="2" t="str">
        <f aca="false">TEXT(B156,"ddd")</f>
        <v>Mon</v>
      </c>
      <c r="D156" s="2" t="s">
        <v>20</v>
      </c>
      <c r="E156" s="2" t="str">
        <f aca="false">Settings!$B$4</f>
        <v>06:30</v>
      </c>
      <c r="F156" s="2" t="s">
        <v>932</v>
      </c>
      <c r="G156" s="2" t="s">
        <v>775</v>
      </c>
      <c r="H156" s="2" t="s">
        <v>23</v>
      </c>
      <c r="I156" s="2" t="s">
        <v>24</v>
      </c>
      <c r="J156" s="2" t="s">
        <v>124</v>
      </c>
      <c r="K156" s="2" t="s">
        <v>125</v>
      </c>
      <c r="L156" s="2" t="s">
        <v>126</v>
      </c>
      <c r="M156" s="2" t="s">
        <v>933</v>
      </c>
      <c r="N156" s="2" t="s">
        <v>784</v>
      </c>
      <c r="O156" s="2" t="s">
        <v>129</v>
      </c>
      <c r="P156" s="2" t="s">
        <v>62</v>
      </c>
      <c r="Q156" s="2" t="s">
        <v>63</v>
      </c>
      <c r="R156" s="2" t="s">
        <v>934</v>
      </c>
      <c r="S156" s="2" t="s">
        <v>131</v>
      </c>
      <c r="T156" s="2" t="s">
        <v>35</v>
      </c>
    </row>
    <row r="157" customFormat="false" ht="23.85" hidden="false" customHeight="false" outlineLevel="0" collapsed="false">
      <c r="A157" s="2" t="n">
        <v>78</v>
      </c>
      <c r="B157" s="3" t="n">
        <f aca="false">Settings!$B$3+A157-1</f>
        <v>46391</v>
      </c>
      <c r="C157" s="2" t="str">
        <f aca="false">TEXT(B157,"ddd")</f>
        <v>Mon</v>
      </c>
      <c r="D157" s="2" t="s">
        <v>36</v>
      </c>
      <c r="E157" s="2" t="str">
        <f aca="false">Settings!$B$5</f>
        <v>18:30</v>
      </c>
      <c r="F157" s="2" t="s">
        <v>935</v>
      </c>
      <c r="G157" s="2" t="s">
        <v>775</v>
      </c>
      <c r="H157" s="2" t="s">
        <v>38</v>
      </c>
      <c r="I157" s="2" t="s">
        <v>24</v>
      </c>
      <c r="J157" s="2" t="s">
        <v>936</v>
      </c>
      <c r="K157" s="2" t="s">
        <v>937</v>
      </c>
      <c r="L157" s="2" t="s">
        <v>183</v>
      </c>
      <c r="M157" s="2" t="s">
        <v>938</v>
      </c>
      <c r="N157" s="2" t="s">
        <v>939</v>
      </c>
      <c r="O157" s="2" t="s">
        <v>121</v>
      </c>
      <c r="P157" s="2" t="s">
        <v>62</v>
      </c>
      <c r="Q157" s="2" t="s">
        <v>63</v>
      </c>
      <c r="R157" s="2" t="s">
        <v>940</v>
      </c>
      <c r="S157" s="2" t="s">
        <v>188</v>
      </c>
      <c r="T157" s="2" t="s">
        <v>35</v>
      </c>
    </row>
    <row r="158" customFormat="false" ht="23.85" hidden="false" customHeight="false" outlineLevel="0" collapsed="false">
      <c r="A158" s="2" t="n">
        <v>79</v>
      </c>
      <c r="B158" s="3" t="n">
        <f aca="false">Settings!$B$3+A158-1</f>
        <v>46392</v>
      </c>
      <c r="C158" s="2" t="str">
        <f aca="false">TEXT(B158,"ddd")</f>
        <v>Tue</v>
      </c>
      <c r="D158" s="2" t="s">
        <v>20</v>
      </c>
      <c r="E158" s="2" t="str">
        <f aca="false">Settings!$B$4</f>
        <v>06:30</v>
      </c>
      <c r="F158" s="2" t="s">
        <v>941</v>
      </c>
      <c r="G158" s="2" t="s">
        <v>775</v>
      </c>
      <c r="H158" s="2" t="s">
        <v>48</v>
      </c>
      <c r="I158" s="2" t="s">
        <v>24</v>
      </c>
      <c r="J158" s="2" t="s">
        <v>442</v>
      </c>
      <c r="K158" s="2" t="s">
        <v>443</v>
      </c>
      <c r="L158" s="2" t="s">
        <v>155</v>
      </c>
      <c r="M158" s="2" t="s">
        <v>444</v>
      </c>
      <c r="N158" s="2" t="s">
        <v>445</v>
      </c>
      <c r="O158" s="2" t="s">
        <v>446</v>
      </c>
      <c r="P158" s="2" t="s">
        <v>62</v>
      </c>
      <c r="Q158" s="2" t="s">
        <v>447</v>
      </c>
      <c r="R158" s="2" t="s">
        <v>448</v>
      </c>
      <c r="S158" s="2" t="s">
        <v>449</v>
      </c>
      <c r="T158" s="2" t="s">
        <v>35</v>
      </c>
    </row>
    <row r="159" customFormat="false" ht="23.85" hidden="false" customHeight="false" outlineLevel="0" collapsed="false">
      <c r="A159" s="2" t="n">
        <v>79</v>
      </c>
      <c r="B159" s="3" t="n">
        <f aca="false">Settings!$B$3+A159-1</f>
        <v>46392</v>
      </c>
      <c r="C159" s="2" t="str">
        <f aca="false">TEXT(B159,"ddd")</f>
        <v>Tue</v>
      </c>
      <c r="D159" s="2" t="s">
        <v>36</v>
      </c>
      <c r="E159" s="2" t="str">
        <f aca="false">Settings!$B$5</f>
        <v>18:30</v>
      </c>
      <c r="F159" s="2" t="s">
        <v>942</v>
      </c>
      <c r="G159" s="2" t="s">
        <v>775</v>
      </c>
      <c r="H159" s="2" t="s">
        <v>23</v>
      </c>
      <c r="I159" s="2" t="s">
        <v>24</v>
      </c>
      <c r="J159" s="2" t="s">
        <v>943</v>
      </c>
      <c r="K159" s="2" t="s">
        <v>944</v>
      </c>
      <c r="L159" s="2" t="s">
        <v>224</v>
      </c>
      <c r="M159" s="2" t="s">
        <v>945</v>
      </c>
      <c r="N159" s="2" t="s">
        <v>946</v>
      </c>
      <c r="O159" s="2" t="s">
        <v>278</v>
      </c>
      <c r="P159" s="2" t="s">
        <v>62</v>
      </c>
      <c r="Q159" s="2" t="s">
        <v>63</v>
      </c>
      <c r="R159" s="2" t="s">
        <v>947</v>
      </c>
      <c r="S159" s="2" t="s">
        <v>228</v>
      </c>
      <c r="T159" s="2" t="s">
        <v>35</v>
      </c>
    </row>
    <row r="160" customFormat="false" ht="23.85" hidden="false" customHeight="false" outlineLevel="0" collapsed="false">
      <c r="A160" s="2" t="n">
        <v>80</v>
      </c>
      <c r="B160" s="3" t="n">
        <f aca="false">Settings!$B$3+A160-1</f>
        <v>46393</v>
      </c>
      <c r="C160" s="2" t="str">
        <f aca="false">TEXT(B160,"ddd")</f>
        <v>Wed</v>
      </c>
      <c r="D160" s="2" t="s">
        <v>20</v>
      </c>
      <c r="E160" s="2" t="str">
        <f aca="false">Settings!$B$4</f>
        <v>06:30</v>
      </c>
      <c r="F160" s="2" t="s">
        <v>948</v>
      </c>
      <c r="G160" s="2" t="s">
        <v>775</v>
      </c>
      <c r="H160" s="2" t="s">
        <v>67</v>
      </c>
      <c r="I160" s="2" t="s">
        <v>24</v>
      </c>
      <c r="J160" s="2" t="s">
        <v>949</v>
      </c>
      <c r="K160" s="2" t="s">
        <v>950</v>
      </c>
      <c r="L160" s="2" t="s">
        <v>27</v>
      </c>
      <c r="M160" s="2" t="s">
        <v>951</v>
      </c>
      <c r="N160" s="2" t="s">
        <v>952</v>
      </c>
      <c r="O160" s="2" t="s">
        <v>72</v>
      </c>
      <c r="P160" s="2" t="s">
        <v>824</v>
      </c>
      <c r="Q160" s="2" t="s">
        <v>74</v>
      </c>
      <c r="R160" s="2" t="s">
        <v>953</v>
      </c>
      <c r="S160" s="2" t="s">
        <v>76</v>
      </c>
      <c r="T160" s="2" t="s">
        <v>35</v>
      </c>
    </row>
    <row r="161" customFormat="false" ht="23.85" hidden="false" customHeight="false" outlineLevel="0" collapsed="false">
      <c r="A161" s="2" t="n">
        <v>80</v>
      </c>
      <c r="B161" s="3" t="n">
        <f aca="false">Settings!$B$3+A161-1</f>
        <v>46393</v>
      </c>
      <c r="C161" s="2" t="str">
        <f aca="false">TEXT(B161,"ddd")</f>
        <v>Wed</v>
      </c>
      <c r="D161" s="2" t="s">
        <v>36</v>
      </c>
      <c r="E161" s="2" t="str">
        <f aca="false">Settings!$B$5</f>
        <v>18:30</v>
      </c>
      <c r="F161" s="2" t="s">
        <v>954</v>
      </c>
      <c r="G161" s="2" t="s">
        <v>775</v>
      </c>
      <c r="H161" s="2" t="s">
        <v>78</v>
      </c>
      <c r="I161" s="2" t="s">
        <v>79</v>
      </c>
      <c r="J161" s="2" t="s">
        <v>955</v>
      </c>
      <c r="K161" s="2" t="s">
        <v>956</v>
      </c>
      <c r="L161" s="2" t="s">
        <v>224</v>
      </c>
      <c r="M161" s="2" t="s">
        <v>957</v>
      </c>
      <c r="N161" s="2" t="s">
        <v>958</v>
      </c>
      <c r="O161" s="2" t="s">
        <v>959</v>
      </c>
      <c r="P161" s="2" t="s">
        <v>31</v>
      </c>
      <c r="Q161" s="2" t="s">
        <v>32</v>
      </c>
      <c r="R161" s="2" t="s">
        <v>960</v>
      </c>
      <c r="S161" s="2" t="s">
        <v>228</v>
      </c>
      <c r="T161" s="2" t="s">
        <v>35</v>
      </c>
    </row>
    <row r="162" customFormat="false" ht="23.85" hidden="false" customHeight="false" outlineLevel="0" collapsed="false">
      <c r="A162" s="2" t="n">
        <v>81</v>
      </c>
      <c r="B162" s="3" t="n">
        <f aca="false">Settings!$B$3+A162-1</f>
        <v>46394</v>
      </c>
      <c r="C162" s="2" t="str">
        <f aca="false">TEXT(B162,"ddd")</f>
        <v>Thu</v>
      </c>
      <c r="D162" s="2" t="s">
        <v>20</v>
      </c>
      <c r="E162" s="2" t="str">
        <f aca="false">Settings!$B$4</f>
        <v>06:30</v>
      </c>
      <c r="F162" s="2" t="s">
        <v>961</v>
      </c>
      <c r="G162" s="2" t="s">
        <v>775</v>
      </c>
      <c r="H162" s="2" t="s">
        <v>23</v>
      </c>
      <c r="I162" s="2" t="s">
        <v>24</v>
      </c>
      <c r="J162" s="2" t="s">
        <v>962</v>
      </c>
      <c r="K162" s="2" t="s">
        <v>963</v>
      </c>
      <c r="L162" s="2" t="s">
        <v>126</v>
      </c>
      <c r="M162" s="2" t="s">
        <v>964</v>
      </c>
      <c r="N162" s="2" t="s">
        <v>965</v>
      </c>
      <c r="O162" s="2" t="s">
        <v>278</v>
      </c>
      <c r="P162" s="2" t="s">
        <v>62</v>
      </c>
      <c r="Q162" s="2" t="s">
        <v>63</v>
      </c>
      <c r="R162" s="2" t="s">
        <v>966</v>
      </c>
      <c r="S162" s="2" t="s">
        <v>131</v>
      </c>
      <c r="T162" s="2" t="s">
        <v>35</v>
      </c>
    </row>
    <row r="163" customFormat="false" ht="23.85" hidden="false" customHeight="false" outlineLevel="0" collapsed="false">
      <c r="A163" s="2" t="n">
        <v>81</v>
      </c>
      <c r="B163" s="3" t="n">
        <f aca="false">Settings!$B$3+A163-1</f>
        <v>46394</v>
      </c>
      <c r="C163" s="2" t="str">
        <f aca="false">TEXT(B163,"ddd")</f>
        <v>Thu</v>
      </c>
      <c r="D163" s="2" t="s">
        <v>36</v>
      </c>
      <c r="E163" s="2" t="str">
        <f aca="false">Settings!$B$5</f>
        <v>18:30</v>
      </c>
      <c r="F163" s="2" t="s">
        <v>967</v>
      </c>
      <c r="G163" s="2" t="s">
        <v>775</v>
      </c>
      <c r="H163" s="2" t="s">
        <v>98</v>
      </c>
      <c r="I163" s="2" t="s">
        <v>24</v>
      </c>
      <c r="J163" s="2" t="s">
        <v>968</v>
      </c>
      <c r="K163" s="2" t="s">
        <v>118</v>
      </c>
      <c r="L163" s="2" t="s">
        <v>27</v>
      </c>
      <c r="M163" s="2" t="s">
        <v>969</v>
      </c>
      <c r="N163" s="2" t="s">
        <v>102</v>
      </c>
      <c r="O163" s="2" t="s">
        <v>121</v>
      </c>
      <c r="P163" s="2" t="s">
        <v>62</v>
      </c>
      <c r="Q163" s="2" t="s">
        <v>104</v>
      </c>
      <c r="R163" s="2" t="s">
        <v>970</v>
      </c>
      <c r="S163" s="2" t="s">
        <v>214</v>
      </c>
      <c r="T163" s="2" t="s">
        <v>35</v>
      </c>
    </row>
    <row r="164" customFormat="false" ht="23.85" hidden="false" customHeight="false" outlineLevel="0" collapsed="false">
      <c r="A164" s="2" t="n">
        <v>82</v>
      </c>
      <c r="B164" s="3" t="n">
        <f aca="false">Settings!$B$3+A164-1</f>
        <v>46395</v>
      </c>
      <c r="C164" s="2" t="str">
        <f aca="false">TEXT(B164,"ddd")</f>
        <v>Fri</v>
      </c>
      <c r="D164" s="2" t="s">
        <v>20</v>
      </c>
      <c r="E164" s="2" t="str">
        <f aca="false">Settings!$B$4</f>
        <v>06:30</v>
      </c>
      <c r="F164" s="2" t="s">
        <v>971</v>
      </c>
      <c r="G164" s="2" t="s">
        <v>775</v>
      </c>
      <c r="H164" s="2" t="s">
        <v>108</v>
      </c>
      <c r="I164" s="2" t="s">
        <v>24</v>
      </c>
      <c r="J164" s="2" t="s">
        <v>972</v>
      </c>
      <c r="K164" s="2" t="s">
        <v>973</v>
      </c>
      <c r="L164" s="2" t="s">
        <v>126</v>
      </c>
      <c r="M164" s="2" t="s">
        <v>974</v>
      </c>
      <c r="N164" s="2" t="s">
        <v>975</v>
      </c>
      <c r="O164" s="2" t="s">
        <v>112</v>
      </c>
      <c r="P164" s="2" t="s">
        <v>113</v>
      </c>
      <c r="Q164" s="2" t="s">
        <v>74</v>
      </c>
      <c r="R164" s="2" t="s">
        <v>976</v>
      </c>
      <c r="S164" s="2" t="s">
        <v>565</v>
      </c>
      <c r="T164" s="2" t="s">
        <v>35</v>
      </c>
    </row>
    <row r="165" customFormat="false" ht="23.85" hidden="false" customHeight="false" outlineLevel="0" collapsed="false">
      <c r="A165" s="2" t="n">
        <v>82</v>
      </c>
      <c r="B165" s="3" t="n">
        <f aca="false">Settings!$B$3+A165-1</f>
        <v>46395</v>
      </c>
      <c r="C165" s="2" t="str">
        <f aca="false">TEXT(B165,"ddd")</f>
        <v>Fri</v>
      </c>
      <c r="D165" s="2" t="s">
        <v>36</v>
      </c>
      <c r="E165" s="2" t="str">
        <f aca="false">Settings!$B$5</f>
        <v>18:30</v>
      </c>
      <c r="F165" s="2" t="s">
        <v>977</v>
      </c>
      <c r="G165" s="2" t="s">
        <v>775</v>
      </c>
      <c r="H165" s="2" t="s">
        <v>48</v>
      </c>
      <c r="I165" s="2" t="s">
        <v>24</v>
      </c>
      <c r="J165" s="2" t="s">
        <v>442</v>
      </c>
      <c r="K165" s="2" t="s">
        <v>443</v>
      </c>
      <c r="L165" s="2" t="s">
        <v>155</v>
      </c>
      <c r="M165" s="2" t="s">
        <v>444</v>
      </c>
      <c r="N165" s="2" t="s">
        <v>445</v>
      </c>
      <c r="O165" s="2" t="s">
        <v>446</v>
      </c>
      <c r="P165" s="2" t="s">
        <v>62</v>
      </c>
      <c r="Q165" s="2" t="s">
        <v>447</v>
      </c>
      <c r="R165" s="2" t="s">
        <v>448</v>
      </c>
      <c r="S165" s="2" t="s">
        <v>449</v>
      </c>
      <c r="T165" s="2" t="s">
        <v>35</v>
      </c>
    </row>
    <row r="166" customFormat="false" ht="23.85" hidden="false" customHeight="false" outlineLevel="0" collapsed="false">
      <c r="A166" s="2" t="n">
        <v>83</v>
      </c>
      <c r="B166" s="3" t="n">
        <f aca="false">Settings!$B$3+A166-1</f>
        <v>46396</v>
      </c>
      <c r="C166" s="2" t="str">
        <f aca="false">TEXT(B166,"ddd")</f>
        <v>Sat</v>
      </c>
      <c r="D166" s="2" t="s">
        <v>20</v>
      </c>
      <c r="E166" s="2" t="str">
        <f aca="false">Settings!$B$4</f>
        <v>06:30</v>
      </c>
      <c r="F166" s="2" t="s">
        <v>978</v>
      </c>
      <c r="G166" s="2" t="s">
        <v>775</v>
      </c>
      <c r="H166" s="2" t="s">
        <v>23</v>
      </c>
      <c r="I166" s="2" t="s">
        <v>24</v>
      </c>
      <c r="J166" s="2" t="s">
        <v>979</v>
      </c>
      <c r="K166" s="2" t="s">
        <v>980</v>
      </c>
      <c r="L166" s="2" t="s">
        <v>126</v>
      </c>
      <c r="M166" s="2" t="s">
        <v>981</v>
      </c>
      <c r="N166" s="2" t="s">
        <v>982</v>
      </c>
      <c r="O166" s="2" t="s">
        <v>103</v>
      </c>
      <c r="P166" s="2" t="s">
        <v>62</v>
      </c>
      <c r="Q166" s="2" t="s">
        <v>63</v>
      </c>
      <c r="R166" s="2" t="s">
        <v>983</v>
      </c>
      <c r="S166" s="2" t="s">
        <v>131</v>
      </c>
      <c r="T166" s="2" t="s">
        <v>35</v>
      </c>
    </row>
    <row r="167" customFormat="false" ht="23.85" hidden="false" customHeight="false" outlineLevel="0" collapsed="false">
      <c r="A167" s="2" t="n">
        <v>83</v>
      </c>
      <c r="B167" s="3" t="n">
        <f aca="false">Settings!$B$3+A167-1</f>
        <v>46396</v>
      </c>
      <c r="C167" s="2" t="str">
        <f aca="false">TEXT(B167,"ddd")</f>
        <v>Sat</v>
      </c>
      <c r="D167" s="2" t="s">
        <v>36</v>
      </c>
      <c r="E167" s="2" t="str">
        <f aca="false">Settings!$B$5</f>
        <v>18:30</v>
      </c>
      <c r="F167" s="2" t="s">
        <v>984</v>
      </c>
      <c r="G167" s="2" t="s">
        <v>775</v>
      </c>
      <c r="H167" s="2" t="s">
        <v>38</v>
      </c>
      <c r="I167" s="2" t="s">
        <v>24</v>
      </c>
      <c r="J167" s="2" t="s">
        <v>985</v>
      </c>
      <c r="K167" s="2" t="s">
        <v>986</v>
      </c>
      <c r="L167" s="2" t="s">
        <v>183</v>
      </c>
      <c r="M167" s="2" t="s">
        <v>987</v>
      </c>
      <c r="N167" s="2" t="s">
        <v>988</v>
      </c>
      <c r="O167" s="2" t="s">
        <v>121</v>
      </c>
      <c r="P167" s="2" t="s">
        <v>62</v>
      </c>
      <c r="Q167" s="2" t="s">
        <v>63</v>
      </c>
      <c r="R167" s="2" t="s">
        <v>989</v>
      </c>
      <c r="S167" s="2" t="s">
        <v>188</v>
      </c>
      <c r="T167" s="2" t="s">
        <v>35</v>
      </c>
    </row>
    <row r="168" customFormat="false" ht="23.85" hidden="false" customHeight="false" outlineLevel="0" collapsed="false">
      <c r="A168" s="2" t="n">
        <v>84</v>
      </c>
      <c r="B168" s="3" t="n">
        <f aca="false">Settings!$B$3+A168-1</f>
        <v>46397</v>
      </c>
      <c r="C168" s="2" t="str">
        <f aca="false">TEXT(B168,"ddd")</f>
        <v>Sun</v>
      </c>
      <c r="D168" s="2" t="s">
        <v>20</v>
      </c>
      <c r="E168" s="2" t="str">
        <f aca="false">Settings!$B$4</f>
        <v>06:30</v>
      </c>
      <c r="F168" s="2" t="s">
        <v>990</v>
      </c>
      <c r="G168" s="2" t="s">
        <v>775</v>
      </c>
      <c r="H168" s="2" t="s">
        <v>140</v>
      </c>
      <c r="I168" s="2" t="s">
        <v>141</v>
      </c>
      <c r="J168" s="2" t="s">
        <v>991</v>
      </c>
      <c r="K168" s="2" t="s">
        <v>143</v>
      </c>
      <c r="L168" s="2" t="s">
        <v>144</v>
      </c>
      <c r="M168" s="2" t="s">
        <v>992</v>
      </c>
      <c r="N168" s="2" t="s">
        <v>146</v>
      </c>
      <c r="O168" s="2" t="s">
        <v>147</v>
      </c>
      <c r="P168" s="2" t="s">
        <v>148</v>
      </c>
      <c r="Q168" s="2" t="s">
        <v>45</v>
      </c>
      <c r="R168" s="2" t="s">
        <v>993</v>
      </c>
      <c r="S168" s="2" t="s">
        <v>150</v>
      </c>
      <c r="T168" s="2" t="s">
        <v>35</v>
      </c>
    </row>
    <row r="169" customFormat="false" ht="23.85" hidden="false" customHeight="false" outlineLevel="0" collapsed="false">
      <c r="A169" s="2" t="n">
        <v>84</v>
      </c>
      <c r="B169" s="3" t="n">
        <f aca="false">Settings!$B$3+A169-1</f>
        <v>46397</v>
      </c>
      <c r="C169" s="2" t="str">
        <f aca="false">TEXT(B169,"ddd")</f>
        <v>Sun</v>
      </c>
      <c r="D169" s="2" t="s">
        <v>36</v>
      </c>
      <c r="E169" s="2" t="str">
        <f aca="false">Settings!$B$5</f>
        <v>18:30</v>
      </c>
      <c r="F169" s="2" t="s">
        <v>994</v>
      </c>
      <c r="G169" s="2" t="s">
        <v>775</v>
      </c>
      <c r="H169" s="2" t="s">
        <v>48</v>
      </c>
      <c r="I169" s="2" t="s">
        <v>24</v>
      </c>
      <c r="J169" s="2" t="s">
        <v>442</v>
      </c>
      <c r="K169" s="2" t="s">
        <v>443</v>
      </c>
      <c r="L169" s="2" t="s">
        <v>155</v>
      </c>
      <c r="M169" s="2" t="s">
        <v>444</v>
      </c>
      <c r="N169" s="2" t="s">
        <v>445</v>
      </c>
      <c r="O169" s="2" t="s">
        <v>446</v>
      </c>
      <c r="P169" s="2" t="s">
        <v>62</v>
      </c>
      <c r="Q169" s="2" t="s">
        <v>447</v>
      </c>
      <c r="R169" s="2" t="s">
        <v>448</v>
      </c>
      <c r="S169" s="2" t="s">
        <v>449</v>
      </c>
      <c r="T169" s="2" t="s">
        <v>35</v>
      </c>
    </row>
    <row r="170" customFormat="false" ht="23.85" hidden="false" customHeight="false" outlineLevel="0" collapsed="false">
      <c r="A170" s="2" t="n">
        <v>85</v>
      </c>
      <c r="B170" s="3" t="n">
        <f aca="false">Settings!$B$3+A170-1</f>
        <v>46398</v>
      </c>
      <c r="C170" s="2" t="str">
        <f aca="false">TEXT(B170,"ddd")</f>
        <v>Mon</v>
      </c>
      <c r="D170" s="2" t="s">
        <v>20</v>
      </c>
      <c r="E170" s="2" t="str">
        <f aca="false">Settings!$B$4</f>
        <v>06:30</v>
      </c>
      <c r="F170" s="2" t="s">
        <v>995</v>
      </c>
      <c r="G170" s="2" t="s">
        <v>775</v>
      </c>
      <c r="H170" s="2" t="s">
        <v>23</v>
      </c>
      <c r="I170" s="2" t="s">
        <v>24</v>
      </c>
      <c r="J170" s="2" t="s">
        <v>996</v>
      </c>
      <c r="K170" s="2" t="s">
        <v>997</v>
      </c>
      <c r="L170" s="2" t="s">
        <v>58</v>
      </c>
      <c r="M170" s="2" t="s">
        <v>998</v>
      </c>
      <c r="N170" s="2" t="s">
        <v>999</v>
      </c>
      <c r="O170" s="2" t="s">
        <v>271</v>
      </c>
      <c r="P170" s="2" t="s">
        <v>62</v>
      </c>
      <c r="Q170" s="2" t="s">
        <v>63</v>
      </c>
      <c r="R170" s="2" t="s">
        <v>1000</v>
      </c>
      <c r="S170" s="2" t="s">
        <v>65</v>
      </c>
      <c r="T170" s="2" t="s">
        <v>35</v>
      </c>
    </row>
    <row r="171" customFormat="false" ht="23.85" hidden="false" customHeight="false" outlineLevel="0" collapsed="false">
      <c r="A171" s="2" t="n">
        <v>85</v>
      </c>
      <c r="B171" s="3" t="n">
        <f aca="false">Settings!$B$3+A171-1</f>
        <v>46398</v>
      </c>
      <c r="C171" s="2" t="str">
        <f aca="false">TEXT(B171,"ddd")</f>
        <v>Mon</v>
      </c>
      <c r="D171" s="2" t="s">
        <v>36</v>
      </c>
      <c r="E171" s="2" t="str">
        <f aca="false">Settings!$B$5</f>
        <v>18:30</v>
      </c>
      <c r="F171" s="2" t="s">
        <v>1001</v>
      </c>
      <c r="G171" s="2" t="s">
        <v>775</v>
      </c>
      <c r="H171" s="2" t="s">
        <v>38</v>
      </c>
      <c r="I171" s="2" t="s">
        <v>24</v>
      </c>
      <c r="J171" s="2" t="s">
        <v>1002</v>
      </c>
      <c r="K171" s="2" t="s">
        <v>1003</v>
      </c>
      <c r="L171" s="2" t="s">
        <v>126</v>
      </c>
      <c r="M171" s="2" t="s">
        <v>1004</v>
      </c>
      <c r="N171" s="2" t="s">
        <v>1005</v>
      </c>
      <c r="O171" s="2" t="s">
        <v>178</v>
      </c>
      <c r="P171" s="2" t="s">
        <v>44</v>
      </c>
      <c r="Q171" s="2" t="s">
        <v>45</v>
      </c>
      <c r="R171" s="2" t="s">
        <v>1006</v>
      </c>
      <c r="S171" s="2" t="s">
        <v>131</v>
      </c>
      <c r="T171" s="2" t="s">
        <v>35</v>
      </c>
    </row>
    <row r="172" customFormat="false" ht="23.85" hidden="false" customHeight="false" outlineLevel="0" collapsed="false">
      <c r="A172" s="2" t="n">
        <v>86</v>
      </c>
      <c r="B172" s="3" t="n">
        <f aca="false">Settings!$B$3+A172-1</f>
        <v>46399</v>
      </c>
      <c r="C172" s="2" t="str">
        <f aca="false">TEXT(B172,"ddd")</f>
        <v>Tue</v>
      </c>
      <c r="D172" s="2" t="s">
        <v>20</v>
      </c>
      <c r="E172" s="2" t="str">
        <f aca="false">Settings!$B$4</f>
        <v>06:30</v>
      </c>
      <c r="F172" s="2" t="s">
        <v>1007</v>
      </c>
      <c r="G172" s="2" t="s">
        <v>775</v>
      </c>
      <c r="H172" s="2" t="s">
        <v>48</v>
      </c>
      <c r="I172" s="2" t="s">
        <v>24</v>
      </c>
      <c r="J172" s="2" t="s">
        <v>442</v>
      </c>
      <c r="K172" s="2" t="s">
        <v>443</v>
      </c>
      <c r="L172" s="2" t="s">
        <v>155</v>
      </c>
      <c r="M172" s="2" t="s">
        <v>444</v>
      </c>
      <c r="N172" s="2" t="s">
        <v>445</v>
      </c>
      <c r="O172" s="2" t="s">
        <v>446</v>
      </c>
      <c r="P172" s="2" t="s">
        <v>62</v>
      </c>
      <c r="Q172" s="2" t="s">
        <v>447</v>
      </c>
      <c r="R172" s="2" t="s">
        <v>448</v>
      </c>
      <c r="S172" s="2" t="s">
        <v>449</v>
      </c>
      <c r="T172" s="2" t="s">
        <v>35</v>
      </c>
    </row>
    <row r="173" customFormat="false" ht="23.85" hidden="false" customHeight="false" outlineLevel="0" collapsed="false">
      <c r="A173" s="2" t="n">
        <v>86</v>
      </c>
      <c r="B173" s="3" t="n">
        <f aca="false">Settings!$B$3+A173-1</f>
        <v>46399</v>
      </c>
      <c r="C173" s="2" t="str">
        <f aca="false">TEXT(B173,"ddd")</f>
        <v>Tue</v>
      </c>
      <c r="D173" s="2" t="s">
        <v>36</v>
      </c>
      <c r="E173" s="2" t="str">
        <f aca="false">Settings!$B$5</f>
        <v>18:30</v>
      </c>
      <c r="F173" s="2" t="s">
        <v>1008</v>
      </c>
      <c r="G173" s="2" t="s">
        <v>775</v>
      </c>
      <c r="H173" s="2" t="s">
        <v>23</v>
      </c>
      <c r="I173" s="2" t="s">
        <v>24</v>
      </c>
      <c r="J173" s="2" t="s">
        <v>204</v>
      </c>
      <c r="K173" s="2" t="s">
        <v>205</v>
      </c>
      <c r="L173" s="2" t="s">
        <v>27</v>
      </c>
      <c r="M173" s="2" t="s">
        <v>1009</v>
      </c>
      <c r="N173" s="2" t="s">
        <v>784</v>
      </c>
      <c r="O173" s="2" t="s">
        <v>208</v>
      </c>
      <c r="P173" s="2" t="s">
        <v>62</v>
      </c>
      <c r="Q173" s="2" t="s">
        <v>63</v>
      </c>
      <c r="R173" s="2" t="s">
        <v>1010</v>
      </c>
      <c r="S173" s="2" t="s">
        <v>34</v>
      </c>
      <c r="T173" s="2" t="s">
        <v>35</v>
      </c>
    </row>
    <row r="174" customFormat="false" ht="23.85" hidden="false" customHeight="false" outlineLevel="0" collapsed="false">
      <c r="A174" s="2" t="n">
        <v>87</v>
      </c>
      <c r="B174" s="3" t="n">
        <f aca="false">Settings!$B$3+A174-1</f>
        <v>46400</v>
      </c>
      <c r="C174" s="2" t="str">
        <f aca="false">TEXT(B174,"ddd")</f>
        <v>Wed</v>
      </c>
      <c r="D174" s="2" t="s">
        <v>20</v>
      </c>
      <c r="E174" s="2" t="str">
        <f aca="false">Settings!$B$4</f>
        <v>06:30</v>
      </c>
      <c r="F174" s="2" t="s">
        <v>1011</v>
      </c>
      <c r="G174" s="2" t="s">
        <v>775</v>
      </c>
      <c r="H174" s="2" t="s">
        <v>67</v>
      </c>
      <c r="I174" s="2" t="s">
        <v>24</v>
      </c>
      <c r="J174" s="2" t="s">
        <v>1012</v>
      </c>
      <c r="K174" s="2" t="s">
        <v>1013</v>
      </c>
      <c r="L174" s="2" t="s">
        <v>254</v>
      </c>
      <c r="M174" s="2" t="s">
        <v>1014</v>
      </c>
      <c r="N174" s="2" t="s">
        <v>1015</v>
      </c>
      <c r="O174" s="2" t="s">
        <v>72</v>
      </c>
      <c r="P174" s="2" t="s">
        <v>824</v>
      </c>
      <c r="Q174" s="2" t="s">
        <v>74</v>
      </c>
      <c r="R174" s="2" t="s">
        <v>1016</v>
      </c>
      <c r="S174" s="2" t="s">
        <v>1017</v>
      </c>
      <c r="T174" s="2" t="s">
        <v>35</v>
      </c>
    </row>
    <row r="175" customFormat="false" ht="23.85" hidden="false" customHeight="false" outlineLevel="0" collapsed="false">
      <c r="A175" s="2" t="n">
        <v>87</v>
      </c>
      <c r="B175" s="3" t="n">
        <f aca="false">Settings!$B$3+A175-1</f>
        <v>46400</v>
      </c>
      <c r="C175" s="2" t="str">
        <f aca="false">TEXT(B175,"ddd")</f>
        <v>Wed</v>
      </c>
      <c r="D175" s="2" t="s">
        <v>36</v>
      </c>
      <c r="E175" s="2" t="str">
        <f aca="false">Settings!$B$5</f>
        <v>18:30</v>
      </c>
      <c r="F175" s="2" t="s">
        <v>1018</v>
      </c>
      <c r="G175" s="2" t="s">
        <v>775</v>
      </c>
      <c r="H175" s="2" t="s">
        <v>78</v>
      </c>
      <c r="I175" s="2" t="s">
        <v>79</v>
      </c>
      <c r="J175" s="2" t="s">
        <v>1019</v>
      </c>
      <c r="K175" s="2" t="s">
        <v>1020</v>
      </c>
      <c r="L175" s="2" t="s">
        <v>224</v>
      </c>
      <c r="M175" s="2" t="s">
        <v>1021</v>
      </c>
      <c r="N175" s="2" t="s">
        <v>1022</v>
      </c>
      <c r="O175" s="2" t="s">
        <v>1023</v>
      </c>
      <c r="P175" s="2" t="s">
        <v>31</v>
      </c>
      <c r="Q175" s="2" t="s">
        <v>32</v>
      </c>
      <c r="R175" s="2" t="s">
        <v>1024</v>
      </c>
      <c r="S175" s="2" t="s">
        <v>228</v>
      </c>
      <c r="T175" s="2" t="s">
        <v>35</v>
      </c>
    </row>
    <row r="176" customFormat="false" ht="23.85" hidden="false" customHeight="false" outlineLevel="0" collapsed="false">
      <c r="A176" s="2" t="n">
        <v>88</v>
      </c>
      <c r="B176" s="3" t="n">
        <f aca="false">Settings!$B$3+A176-1</f>
        <v>46401</v>
      </c>
      <c r="C176" s="2" t="str">
        <f aca="false">TEXT(B176,"ddd")</f>
        <v>Thu</v>
      </c>
      <c r="D176" s="2" t="s">
        <v>20</v>
      </c>
      <c r="E176" s="2" t="str">
        <f aca="false">Settings!$B$4</f>
        <v>06:30</v>
      </c>
      <c r="F176" s="2" t="s">
        <v>1025</v>
      </c>
      <c r="G176" s="2" t="s">
        <v>775</v>
      </c>
      <c r="H176" s="2" t="s">
        <v>23</v>
      </c>
      <c r="I176" s="2" t="s">
        <v>24</v>
      </c>
      <c r="J176" s="2" t="s">
        <v>25</v>
      </c>
      <c r="K176" s="2" t="s">
        <v>26</v>
      </c>
      <c r="L176" s="2" t="s">
        <v>27</v>
      </c>
      <c r="M176" s="2" t="s">
        <v>1026</v>
      </c>
      <c r="N176" s="2" t="s">
        <v>784</v>
      </c>
      <c r="O176" s="2" t="s">
        <v>30</v>
      </c>
      <c r="P176" s="4" t="s">
        <v>31</v>
      </c>
      <c r="Q176" s="2" t="s">
        <v>32</v>
      </c>
      <c r="R176" s="2" t="s">
        <v>1027</v>
      </c>
      <c r="S176" s="2" t="s">
        <v>34</v>
      </c>
      <c r="T176" s="2" t="s">
        <v>35</v>
      </c>
    </row>
    <row r="177" customFormat="false" ht="23.85" hidden="false" customHeight="false" outlineLevel="0" collapsed="false">
      <c r="A177" s="2" t="n">
        <v>88</v>
      </c>
      <c r="B177" s="3" t="n">
        <f aca="false">Settings!$B$3+A177-1</f>
        <v>46401</v>
      </c>
      <c r="C177" s="2" t="str">
        <f aca="false">TEXT(B177,"ddd")</f>
        <v>Thu</v>
      </c>
      <c r="D177" s="2" t="s">
        <v>36</v>
      </c>
      <c r="E177" s="2" t="str">
        <f aca="false">Settings!$B$5</f>
        <v>18:30</v>
      </c>
      <c r="F177" s="2" t="s">
        <v>1028</v>
      </c>
      <c r="G177" s="2" t="s">
        <v>775</v>
      </c>
      <c r="H177" s="2" t="s">
        <v>98</v>
      </c>
      <c r="I177" s="2" t="s">
        <v>24</v>
      </c>
      <c r="J177" s="2" t="s">
        <v>1029</v>
      </c>
      <c r="K177" s="2" t="s">
        <v>406</v>
      </c>
      <c r="L177" s="2" t="s">
        <v>82</v>
      </c>
      <c r="M177" s="2" t="s">
        <v>1030</v>
      </c>
      <c r="N177" s="2" t="s">
        <v>102</v>
      </c>
      <c r="O177" s="2" t="s">
        <v>103</v>
      </c>
      <c r="P177" s="2" t="s">
        <v>62</v>
      </c>
      <c r="Q177" s="2" t="s">
        <v>104</v>
      </c>
      <c r="R177" s="2" t="s">
        <v>1031</v>
      </c>
      <c r="S177" s="2" t="s">
        <v>106</v>
      </c>
      <c r="T177" s="2" t="s">
        <v>35</v>
      </c>
    </row>
    <row r="178" customFormat="false" ht="23.85" hidden="false" customHeight="false" outlineLevel="0" collapsed="false">
      <c r="A178" s="2" t="n">
        <v>89</v>
      </c>
      <c r="B178" s="3" t="n">
        <f aca="false">Settings!$B$3+A178-1</f>
        <v>46402</v>
      </c>
      <c r="C178" s="2" t="str">
        <f aca="false">TEXT(B178,"ddd")</f>
        <v>Fri</v>
      </c>
      <c r="D178" s="2" t="s">
        <v>20</v>
      </c>
      <c r="E178" s="2" t="str">
        <f aca="false">Settings!$B$4</f>
        <v>06:30</v>
      </c>
      <c r="F178" s="2" t="s">
        <v>1032</v>
      </c>
      <c r="G178" s="2" t="s">
        <v>775</v>
      </c>
      <c r="H178" s="2" t="s">
        <v>108</v>
      </c>
      <c r="I178" s="2" t="s">
        <v>24</v>
      </c>
      <c r="J178" s="2" t="s">
        <v>1033</v>
      </c>
      <c r="K178" s="2" t="s">
        <v>1034</v>
      </c>
      <c r="L178" s="2" t="s">
        <v>183</v>
      </c>
      <c r="M178" s="2" t="s">
        <v>1035</v>
      </c>
      <c r="N178" s="2" t="s">
        <v>1036</v>
      </c>
      <c r="O178" s="2" t="s">
        <v>112</v>
      </c>
      <c r="P178" s="2" t="s">
        <v>113</v>
      </c>
      <c r="Q178" s="2" t="s">
        <v>74</v>
      </c>
      <c r="R178" s="2" t="s">
        <v>1037</v>
      </c>
      <c r="S178" s="2" t="s">
        <v>911</v>
      </c>
      <c r="T178" s="2" t="s">
        <v>35</v>
      </c>
    </row>
    <row r="179" customFormat="false" ht="23.85" hidden="false" customHeight="false" outlineLevel="0" collapsed="false">
      <c r="A179" s="2" t="n">
        <v>89</v>
      </c>
      <c r="B179" s="3" t="n">
        <f aca="false">Settings!$B$3+A179-1</f>
        <v>46402</v>
      </c>
      <c r="C179" s="2" t="str">
        <f aca="false">TEXT(B179,"ddd")</f>
        <v>Fri</v>
      </c>
      <c r="D179" s="2" t="s">
        <v>36</v>
      </c>
      <c r="E179" s="2" t="str">
        <f aca="false">Settings!$B$5</f>
        <v>18:30</v>
      </c>
      <c r="F179" s="2" t="s">
        <v>1038</v>
      </c>
      <c r="G179" s="2" t="s">
        <v>775</v>
      </c>
      <c r="H179" s="2" t="s">
        <v>48</v>
      </c>
      <c r="I179" s="2" t="s">
        <v>24</v>
      </c>
      <c r="J179" s="2" t="s">
        <v>442</v>
      </c>
      <c r="K179" s="2" t="s">
        <v>443</v>
      </c>
      <c r="L179" s="2" t="s">
        <v>155</v>
      </c>
      <c r="M179" s="2" t="s">
        <v>444</v>
      </c>
      <c r="N179" s="2" t="s">
        <v>445</v>
      </c>
      <c r="O179" s="2" t="s">
        <v>446</v>
      </c>
      <c r="P179" s="2" t="s">
        <v>62</v>
      </c>
      <c r="Q179" s="2" t="s">
        <v>447</v>
      </c>
      <c r="R179" s="2" t="s">
        <v>448</v>
      </c>
      <c r="S179" s="2" t="s">
        <v>449</v>
      </c>
      <c r="T179" s="2" t="s">
        <v>35</v>
      </c>
    </row>
    <row r="180" customFormat="false" ht="23.85" hidden="false" customHeight="false" outlineLevel="0" collapsed="false">
      <c r="A180" s="2" t="n">
        <v>90</v>
      </c>
      <c r="B180" s="3" t="n">
        <f aca="false">Settings!$B$3+A180-1</f>
        <v>46403</v>
      </c>
      <c r="C180" s="2" t="str">
        <f aca="false">TEXT(B180,"ddd")</f>
        <v>Sat</v>
      </c>
      <c r="D180" s="2" t="s">
        <v>20</v>
      </c>
      <c r="E180" s="2" t="str">
        <f aca="false">Settings!$B$4</f>
        <v>06:30</v>
      </c>
      <c r="F180" s="2" t="s">
        <v>1039</v>
      </c>
      <c r="G180" s="2" t="s">
        <v>775</v>
      </c>
      <c r="H180" s="2" t="s">
        <v>23</v>
      </c>
      <c r="I180" s="2" t="s">
        <v>24</v>
      </c>
      <c r="J180" s="2" t="s">
        <v>56</v>
      </c>
      <c r="K180" s="2" t="s">
        <v>57</v>
      </c>
      <c r="L180" s="2" t="s">
        <v>58</v>
      </c>
      <c r="M180" s="2" t="s">
        <v>783</v>
      </c>
      <c r="N180" s="2" t="s">
        <v>784</v>
      </c>
      <c r="O180" s="2" t="s">
        <v>61</v>
      </c>
      <c r="P180" s="2" t="s">
        <v>62</v>
      </c>
      <c r="Q180" s="2" t="s">
        <v>63</v>
      </c>
      <c r="R180" s="2" t="s">
        <v>785</v>
      </c>
      <c r="S180" s="2" t="s">
        <v>65</v>
      </c>
      <c r="T180" s="2" t="s">
        <v>35</v>
      </c>
    </row>
    <row r="181" customFormat="false" ht="23.85" hidden="false" customHeight="false" outlineLevel="0" collapsed="false">
      <c r="A181" s="2" t="n">
        <v>90</v>
      </c>
      <c r="B181" s="3" t="n">
        <f aca="false">Settings!$B$3+A181-1</f>
        <v>46403</v>
      </c>
      <c r="C181" s="2" t="str">
        <f aca="false">TEXT(B181,"ddd")</f>
        <v>Sat</v>
      </c>
      <c r="D181" s="2" t="s">
        <v>36</v>
      </c>
      <c r="E181" s="2" t="str">
        <f aca="false">Settings!$B$5</f>
        <v>18:30</v>
      </c>
      <c r="F181" s="2" t="s">
        <v>1040</v>
      </c>
      <c r="G181" s="2" t="s">
        <v>775</v>
      </c>
      <c r="H181" s="2" t="s">
        <v>38</v>
      </c>
      <c r="I181" s="2" t="s">
        <v>24</v>
      </c>
      <c r="J181" s="2" t="s">
        <v>1041</v>
      </c>
      <c r="K181" s="2" t="s">
        <v>1042</v>
      </c>
      <c r="L181" s="2" t="s">
        <v>126</v>
      </c>
      <c r="M181" s="2" t="s">
        <v>1043</v>
      </c>
      <c r="N181" s="2" t="s">
        <v>1044</v>
      </c>
      <c r="O181" s="2" t="s">
        <v>121</v>
      </c>
      <c r="P181" s="2" t="s">
        <v>62</v>
      </c>
      <c r="Q181" s="2" t="s">
        <v>63</v>
      </c>
      <c r="R181" s="2" t="s">
        <v>1045</v>
      </c>
      <c r="S181" s="2" t="s">
        <v>131</v>
      </c>
      <c r="T181" s="2" t="s">
        <v>35</v>
      </c>
    </row>
  </sheetData>
  <autoFilter ref="A1:T181"/>
  <dataValidations count="1">
    <dataValidation allowBlank="true" errorStyle="stop" operator="between" showDropDown="false" showErrorMessage="false" showInputMessage="false" sqref="T2:T181" type="list">
      <formula1>"Planned,Researched,Captured,Rendered,Posted"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1046</v>
      </c>
    </row>
    <row r="3" customFormat="false" ht="15" hidden="false" customHeight="false" outlineLevel="0" collapsed="false">
      <c r="A3" s="6" t="s">
        <v>1047</v>
      </c>
      <c r="B3" s="7" t="n">
        <v>46314</v>
      </c>
      <c r="C3" s="6" t="s">
        <v>1048</v>
      </c>
    </row>
    <row r="4" customFormat="false" ht="15" hidden="false" customHeight="false" outlineLevel="0" collapsed="false">
      <c r="A4" s="6" t="s">
        <v>1049</v>
      </c>
      <c r="B4" s="8" t="s">
        <v>1050</v>
      </c>
      <c r="C4" s="6" t="s">
        <v>1051</v>
      </c>
    </row>
    <row r="5" customFormat="false" ht="15" hidden="false" customHeight="false" outlineLevel="0" collapsed="false">
      <c r="A5" s="6" t="s">
        <v>1052</v>
      </c>
      <c r="B5" s="8" t="s">
        <v>1053</v>
      </c>
      <c r="C5" s="6" t="s">
        <v>1054</v>
      </c>
    </row>
    <row r="6" customFormat="false" ht="15" hidden="false" customHeight="false" outlineLevel="0" collapsed="false">
      <c r="A6" s="6" t="s">
        <v>1055</v>
      </c>
      <c r="B6" s="9" t="n">
        <f aca="false">B3+89</f>
        <v>46403</v>
      </c>
    </row>
    <row r="8" customFormat="false" ht="15" hidden="false" customHeight="false" outlineLevel="0" collapsed="false">
      <c r="A8" s="10" t="s">
        <v>1056</v>
      </c>
    </row>
    <row r="9" customFormat="false" ht="15" hidden="false" customHeight="false" outlineLevel="0" collapsed="false">
      <c r="A9" s="11" t="s">
        <v>1057</v>
      </c>
      <c r="C9" s="12" t="s">
        <v>1058</v>
      </c>
    </row>
    <row r="10" customFormat="false" ht="23.85" hidden="false" customHeight="false" outlineLevel="0" collapsed="false">
      <c r="A10" s="11" t="s">
        <v>1059</v>
      </c>
      <c r="C10" s="12" t="s">
        <v>1060</v>
      </c>
    </row>
    <row r="11" customFormat="false" ht="15" hidden="false" customHeight="false" outlineLevel="0" collapsed="false">
      <c r="A11" s="11" t="s">
        <v>1061</v>
      </c>
      <c r="C11" s="12" t="s">
        <v>1062</v>
      </c>
    </row>
    <row r="12" customFormat="false" ht="35.05" hidden="false" customHeight="false" outlineLevel="0" collapsed="false">
      <c r="A12" s="11" t="s">
        <v>15</v>
      </c>
      <c r="C12" s="12" t="s">
        <v>1063</v>
      </c>
    </row>
    <row r="13" customFormat="false" ht="23.85" hidden="false" customHeight="false" outlineLevel="0" collapsed="false">
      <c r="A13" s="11" t="s">
        <v>1064</v>
      </c>
      <c r="C13" s="12" t="s">
        <v>1065</v>
      </c>
    </row>
    <row r="14" customFormat="false" ht="15" hidden="false" customHeight="false" outlineLevel="0" collapsed="false">
      <c r="A14" s="11" t="s">
        <v>19</v>
      </c>
      <c r="C14" s="12" t="s">
        <v>1066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46"/>
    <col collapsed="false" customWidth="true" hidden="false" outlineLevel="0" max="7" min="7" style="0" width="22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1067</v>
      </c>
      <c r="B1" s="1" t="s">
        <v>1068</v>
      </c>
      <c r="C1" s="1" t="s">
        <v>11</v>
      </c>
      <c r="D1" s="1" t="s">
        <v>1069</v>
      </c>
      <c r="E1" s="1" t="s">
        <v>1070</v>
      </c>
      <c r="F1" s="1" t="s">
        <v>1071</v>
      </c>
      <c r="G1" s="1" t="s">
        <v>15</v>
      </c>
      <c r="H1" s="1" t="s">
        <v>1072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tr">
        <f aca="false">Calendar!F2</f>
        <v>E001</v>
      </c>
      <c r="E2" s="3" t="n">
        <f aca="false">Calendar!B2</f>
        <v>46314</v>
      </c>
      <c r="F2" s="2" t="s">
        <v>30</v>
      </c>
      <c r="G2" s="2" t="s">
        <v>31</v>
      </c>
      <c r="H2" s="13" t="s">
        <v>1073</v>
      </c>
    </row>
    <row r="3" customFormat="false" ht="23.85" hidden="false" customHeight="false" outlineLevel="0" collapsed="false">
      <c r="A3" s="2" t="s">
        <v>39</v>
      </c>
      <c r="B3" s="2" t="s">
        <v>40</v>
      </c>
      <c r="C3" s="2" t="s">
        <v>27</v>
      </c>
      <c r="D3" s="2" t="str">
        <f aca="false">Calendar!F3</f>
        <v>E002</v>
      </c>
      <c r="E3" s="3" t="n">
        <f aca="false">Calendar!B3</f>
        <v>46314</v>
      </c>
      <c r="F3" s="2" t="s">
        <v>43</v>
      </c>
      <c r="G3" s="2" t="s">
        <v>44</v>
      </c>
      <c r="H3" s="2" t="s">
        <v>1074</v>
      </c>
    </row>
    <row r="4" customFormat="false" ht="23.85" hidden="false" customHeight="false" outlineLevel="0" collapsed="false">
      <c r="A4" s="2" t="s">
        <v>49</v>
      </c>
      <c r="B4" s="2" t="s">
        <v>50</v>
      </c>
      <c r="C4" s="2" t="s">
        <v>27</v>
      </c>
      <c r="D4" s="2" t="str">
        <f aca="false">Calendar!F4</f>
        <v>E003</v>
      </c>
      <c r="E4" s="3" t="n">
        <f aca="false">Calendar!B4</f>
        <v>46315</v>
      </c>
      <c r="F4" s="2" t="s">
        <v>53</v>
      </c>
      <c r="G4" s="2" t="s">
        <v>44</v>
      </c>
      <c r="H4" s="2" t="s">
        <v>1074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58</v>
      </c>
      <c r="D5" s="2" t="str">
        <f aca="false">Calendar!F5</f>
        <v>E004</v>
      </c>
      <c r="E5" s="3" t="n">
        <f aca="false">Calendar!B5</f>
        <v>46315</v>
      </c>
      <c r="F5" s="2" t="s">
        <v>61</v>
      </c>
      <c r="G5" s="2" t="s">
        <v>62</v>
      </c>
      <c r="H5" s="2" t="s">
        <v>1074</v>
      </c>
    </row>
    <row r="6" customFormat="false" ht="15" hidden="false" customHeight="false" outlineLevel="0" collapsed="false">
      <c r="A6" s="2" t="s">
        <v>204</v>
      </c>
      <c r="B6" s="2" t="s">
        <v>205</v>
      </c>
      <c r="C6" s="2" t="s">
        <v>27</v>
      </c>
      <c r="D6" s="2" t="str">
        <f aca="false">Calendar!F6</f>
        <v>E005</v>
      </c>
      <c r="E6" s="3" t="n">
        <f aca="false">Calendar!B6</f>
        <v>46316</v>
      </c>
      <c r="F6" s="2" t="s">
        <v>208</v>
      </c>
      <c r="G6" s="2" t="s">
        <v>62</v>
      </c>
      <c r="H6" s="2" t="s">
        <v>1074</v>
      </c>
    </row>
    <row r="7" customFormat="false" ht="15" hidden="false" customHeight="false" outlineLevel="0" collapsed="false">
      <c r="A7" s="2" t="s">
        <v>80</v>
      </c>
      <c r="B7" s="2" t="s">
        <v>81</v>
      </c>
      <c r="C7" s="2" t="s">
        <v>82</v>
      </c>
      <c r="D7" s="2" t="str">
        <f aca="false">Calendar!F7</f>
        <v>E006</v>
      </c>
      <c r="E7" s="3" t="n">
        <f aca="false">Calendar!B7</f>
        <v>46316</v>
      </c>
      <c r="F7" s="2" t="s">
        <v>85</v>
      </c>
      <c r="G7" s="2" t="s">
        <v>62</v>
      </c>
      <c r="H7" s="2" t="s">
        <v>1074</v>
      </c>
    </row>
    <row r="8" customFormat="false" ht="15" hidden="false" customHeight="false" outlineLevel="0" collapsed="false">
      <c r="A8" s="2" t="s">
        <v>89</v>
      </c>
      <c r="B8" s="2" t="s">
        <v>90</v>
      </c>
      <c r="C8" s="2" t="s">
        <v>91</v>
      </c>
      <c r="D8" s="2" t="str">
        <f aca="false">Calendar!F8</f>
        <v>E007</v>
      </c>
      <c r="E8" s="3" t="n">
        <f aca="false">Calendar!B8</f>
        <v>46317</v>
      </c>
      <c r="F8" s="2" t="s">
        <v>94</v>
      </c>
      <c r="G8" s="2" t="s">
        <v>31</v>
      </c>
      <c r="H8" s="13" t="s">
        <v>1075</v>
      </c>
    </row>
    <row r="9" customFormat="false" ht="15" hidden="false" customHeight="false" outlineLevel="0" collapsed="false">
      <c r="A9" s="2" t="s">
        <v>162</v>
      </c>
      <c r="B9" s="2" t="s">
        <v>100</v>
      </c>
      <c r="C9" s="2" t="s">
        <v>82</v>
      </c>
      <c r="D9" s="2" t="str">
        <f aca="false">Calendar!F9</f>
        <v>E008</v>
      </c>
      <c r="E9" s="3" t="n">
        <f aca="false">Calendar!B9</f>
        <v>46317</v>
      </c>
      <c r="F9" s="2" t="s">
        <v>103</v>
      </c>
      <c r="G9" s="2" t="s">
        <v>62</v>
      </c>
      <c r="H9" s="2" t="s">
        <v>1074</v>
      </c>
    </row>
    <row r="10" customFormat="false" ht="15" hidden="false" customHeight="false" outlineLevel="0" collapsed="false">
      <c r="A10" s="2" t="s">
        <v>117</v>
      </c>
      <c r="B10" s="2" t="s">
        <v>118</v>
      </c>
      <c r="C10" s="2" t="s">
        <v>27</v>
      </c>
      <c r="D10" s="2" t="str">
        <f aca="false">Calendar!F11</f>
        <v>E010</v>
      </c>
      <c r="E10" s="3" t="n">
        <f aca="false">Calendar!B11</f>
        <v>46318</v>
      </c>
      <c r="F10" s="2" t="s">
        <v>121</v>
      </c>
      <c r="G10" s="2" t="s">
        <v>62</v>
      </c>
      <c r="H10" s="2" t="s">
        <v>1076</v>
      </c>
    </row>
    <row r="11" customFormat="false" ht="15" hidden="false" customHeight="false" outlineLevel="0" collapsed="false">
      <c r="A11" s="2" t="s">
        <v>124</v>
      </c>
      <c r="B11" s="2" t="s">
        <v>125</v>
      </c>
      <c r="C11" s="2" t="s">
        <v>126</v>
      </c>
      <c r="D11" s="2" t="str">
        <f aca="false">Calendar!F12</f>
        <v>E011</v>
      </c>
      <c r="E11" s="3" t="n">
        <f aca="false">Calendar!B12</f>
        <v>46319</v>
      </c>
      <c r="F11" s="2" t="s">
        <v>129</v>
      </c>
      <c r="G11" s="2" t="s">
        <v>62</v>
      </c>
      <c r="H11" s="2" t="s">
        <v>1074</v>
      </c>
    </row>
    <row r="12" customFormat="false" ht="23.85" hidden="false" customHeight="false" outlineLevel="0" collapsed="false">
      <c r="A12" s="2" t="s">
        <v>133</v>
      </c>
      <c r="B12" s="2" t="s">
        <v>134</v>
      </c>
      <c r="C12" s="2" t="s">
        <v>82</v>
      </c>
      <c r="D12" s="2" t="str">
        <f aca="false">Calendar!F13</f>
        <v>E012</v>
      </c>
      <c r="E12" s="3" t="n">
        <f aca="false">Calendar!B13</f>
        <v>46319</v>
      </c>
      <c r="F12" s="2" t="s">
        <v>137</v>
      </c>
      <c r="G12" s="2" t="s">
        <v>44</v>
      </c>
      <c r="H12" s="2" t="s">
        <v>1074</v>
      </c>
    </row>
    <row r="13" customFormat="false" ht="23.85" hidden="false" customHeight="false" outlineLevel="0" collapsed="false">
      <c r="A13" s="2" t="s">
        <v>167</v>
      </c>
      <c r="B13" s="2" t="s">
        <v>168</v>
      </c>
      <c r="C13" s="2" t="s">
        <v>126</v>
      </c>
      <c r="D13" s="2" t="str">
        <f aca="false">Calendar!F17</f>
        <v>E016</v>
      </c>
      <c r="E13" s="3" t="n">
        <f aca="false">Calendar!B17</f>
        <v>46321</v>
      </c>
      <c r="F13" s="2" t="s">
        <v>171</v>
      </c>
      <c r="G13" s="2" t="s">
        <v>44</v>
      </c>
      <c r="H13" s="2" t="s">
        <v>1074</v>
      </c>
    </row>
    <row r="14" customFormat="false" ht="23.85" hidden="false" customHeight="false" outlineLevel="0" collapsed="false">
      <c r="A14" s="2" t="s">
        <v>174</v>
      </c>
      <c r="B14" s="2" t="s">
        <v>175</v>
      </c>
      <c r="C14" s="2" t="s">
        <v>91</v>
      </c>
      <c r="D14" s="2" t="str">
        <f aca="false">Calendar!F18</f>
        <v>E017</v>
      </c>
      <c r="E14" s="3" t="n">
        <f aca="false">Calendar!B18</f>
        <v>46322</v>
      </c>
      <c r="F14" s="2" t="s">
        <v>178</v>
      </c>
      <c r="G14" s="2" t="s">
        <v>44</v>
      </c>
      <c r="H14" s="2" t="s">
        <v>1076</v>
      </c>
    </row>
    <row r="15" customFormat="false" ht="15" hidden="false" customHeight="false" outlineLevel="0" collapsed="false">
      <c r="A15" s="2" t="s">
        <v>181</v>
      </c>
      <c r="B15" s="2" t="s">
        <v>182</v>
      </c>
      <c r="C15" s="2" t="s">
        <v>183</v>
      </c>
      <c r="D15" s="2" t="str">
        <f aca="false">Calendar!F19</f>
        <v>E018</v>
      </c>
      <c r="E15" s="3" t="n">
        <f aca="false">Calendar!B19</f>
        <v>46322</v>
      </c>
      <c r="F15" s="2" t="s">
        <v>186</v>
      </c>
      <c r="G15" s="2" t="s">
        <v>62</v>
      </c>
      <c r="H15" s="2" t="s">
        <v>1074</v>
      </c>
    </row>
    <row r="16" customFormat="false" ht="15" hidden="false" customHeight="false" outlineLevel="0" collapsed="false">
      <c r="A16" s="2" t="s">
        <v>428</v>
      </c>
      <c r="B16" s="2" t="s">
        <v>429</v>
      </c>
      <c r="C16" s="2" t="s">
        <v>58</v>
      </c>
      <c r="D16" s="2" t="str">
        <f aca="false">Calendar!F20</f>
        <v>E019</v>
      </c>
      <c r="E16" s="3" t="n">
        <f aca="false">Calendar!B20</f>
        <v>46323</v>
      </c>
      <c r="F16" s="2" t="s">
        <v>432</v>
      </c>
      <c r="G16" s="2" t="s">
        <v>62</v>
      </c>
      <c r="H16" s="2" t="s">
        <v>1074</v>
      </c>
    </row>
    <row r="17" customFormat="false" ht="15" hidden="false" customHeight="false" outlineLevel="0" collapsed="false">
      <c r="A17" s="2" t="s">
        <v>296</v>
      </c>
      <c r="B17" s="2" t="s">
        <v>297</v>
      </c>
      <c r="C17" s="2" t="s">
        <v>58</v>
      </c>
      <c r="D17" s="2" t="str">
        <f aca="false">Calendar!F20</f>
        <v>E019</v>
      </c>
      <c r="E17" s="3" t="n">
        <f aca="false">Calendar!B20</f>
        <v>46323</v>
      </c>
      <c r="F17" s="2" t="s">
        <v>300</v>
      </c>
      <c r="G17" s="2" t="s">
        <v>62</v>
      </c>
      <c r="H17" s="2" t="s">
        <v>1076</v>
      </c>
    </row>
    <row r="18" customFormat="false" ht="23.85" hidden="false" customHeight="false" outlineLevel="0" collapsed="false">
      <c r="A18" s="2" t="s">
        <v>197</v>
      </c>
      <c r="B18" s="2" t="s">
        <v>198</v>
      </c>
      <c r="C18" s="2" t="s">
        <v>58</v>
      </c>
      <c r="D18" s="2" t="str">
        <f aca="false">Calendar!F21</f>
        <v>E020</v>
      </c>
      <c r="E18" s="3" t="n">
        <f aca="false">Calendar!B21</f>
        <v>46323</v>
      </c>
      <c r="F18" s="2" t="s">
        <v>201</v>
      </c>
      <c r="G18" s="2" t="s">
        <v>44</v>
      </c>
      <c r="H18" s="2" t="s">
        <v>1074</v>
      </c>
    </row>
    <row r="19" customFormat="false" ht="15" hidden="false" customHeight="false" outlineLevel="0" collapsed="false">
      <c r="A19" s="2" t="s">
        <v>222</v>
      </c>
      <c r="B19" s="2" t="s">
        <v>223</v>
      </c>
      <c r="C19" s="2" t="s">
        <v>224</v>
      </c>
      <c r="D19" s="2" t="str">
        <f aca="false">Calendar!F25</f>
        <v>E024</v>
      </c>
      <c r="E19" s="3" t="n">
        <f aca="false">Calendar!B25</f>
        <v>46325</v>
      </c>
      <c r="F19" s="2" t="s">
        <v>121</v>
      </c>
      <c r="G19" s="2" t="s">
        <v>62</v>
      </c>
      <c r="H19" s="2" t="s">
        <v>1076</v>
      </c>
    </row>
    <row r="20" customFormat="false" ht="15" hidden="false" customHeight="false" outlineLevel="0" collapsed="false">
      <c r="A20" s="2" t="s">
        <v>230</v>
      </c>
      <c r="B20" s="2" t="s">
        <v>231</v>
      </c>
      <c r="C20" s="2" t="s">
        <v>82</v>
      </c>
      <c r="D20" s="2" t="str">
        <f aca="false">Calendar!F26</f>
        <v>E025</v>
      </c>
      <c r="E20" s="3" t="n">
        <f aca="false">Calendar!B26</f>
        <v>46326</v>
      </c>
      <c r="F20" s="2" t="s">
        <v>186</v>
      </c>
      <c r="G20" s="2" t="s">
        <v>62</v>
      </c>
      <c r="H20" s="2" t="s">
        <v>1074</v>
      </c>
    </row>
    <row r="21" customFormat="false" ht="23.85" hidden="false" customHeight="false" outlineLevel="0" collapsed="false">
      <c r="A21" s="2" t="s">
        <v>236</v>
      </c>
      <c r="B21" s="2" t="s">
        <v>237</v>
      </c>
      <c r="C21" s="2" t="s">
        <v>91</v>
      </c>
      <c r="D21" s="2" t="str">
        <f aca="false">Calendar!F27</f>
        <v>E026</v>
      </c>
      <c r="E21" s="3" t="n">
        <f aca="false">Calendar!B27</f>
        <v>46326</v>
      </c>
      <c r="F21" s="2" t="s">
        <v>103</v>
      </c>
      <c r="G21" s="2" t="s">
        <v>44</v>
      </c>
      <c r="H21" s="2" t="s">
        <v>1074</v>
      </c>
    </row>
    <row r="22" customFormat="false" ht="23.85" hidden="false" customHeight="false" outlineLevel="0" collapsed="false">
      <c r="A22" s="2" t="s">
        <v>246</v>
      </c>
      <c r="B22" s="2" t="s">
        <v>247</v>
      </c>
      <c r="C22" s="2" t="s">
        <v>126</v>
      </c>
      <c r="D22" s="2" t="str">
        <f aca="false">Calendar!F29</f>
        <v>E028</v>
      </c>
      <c r="E22" s="3" t="n">
        <f aca="false">Calendar!B29</f>
        <v>46327</v>
      </c>
      <c r="F22" s="2" t="s">
        <v>178</v>
      </c>
      <c r="G22" s="2" t="s">
        <v>44</v>
      </c>
      <c r="H22" s="2" t="s">
        <v>1076</v>
      </c>
    </row>
    <row r="23" customFormat="false" ht="15" hidden="false" customHeight="false" outlineLevel="0" collapsed="false">
      <c r="A23" s="2" t="s">
        <v>252</v>
      </c>
      <c r="B23" s="2" t="s">
        <v>253</v>
      </c>
      <c r="C23" s="2" t="s">
        <v>254</v>
      </c>
      <c r="D23" s="2" t="str">
        <f aca="false">Calendar!F30</f>
        <v>E029</v>
      </c>
      <c r="E23" s="3" t="n">
        <f aca="false">Calendar!B30</f>
        <v>46328</v>
      </c>
      <c r="F23" s="2" t="s">
        <v>257</v>
      </c>
      <c r="G23" s="2" t="s">
        <v>31</v>
      </c>
      <c r="H23" s="13" t="s">
        <v>1075</v>
      </c>
    </row>
    <row r="24" customFormat="false" ht="23.85" hidden="false" customHeight="false" outlineLevel="0" collapsed="false">
      <c r="A24" s="2" t="s">
        <v>261</v>
      </c>
      <c r="B24" s="2" t="s">
        <v>262</v>
      </c>
      <c r="C24" s="2" t="s">
        <v>126</v>
      </c>
      <c r="D24" s="2" t="str">
        <f aca="false">Calendar!F31</f>
        <v>E030</v>
      </c>
      <c r="E24" s="3" t="n">
        <f aca="false">Calendar!B31</f>
        <v>46328</v>
      </c>
      <c r="F24" s="2" t="s">
        <v>171</v>
      </c>
      <c r="G24" s="2" t="s">
        <v>44</v>
      </c>
      <c r="H24" s="2" t="s">
        <v>1074</v>
      </c>
    </row>
    <row r="25" customFormat="false" ht="15" hidden="false" customHeight="false" outlineLevel="0" collapsed="false">
      <c r="A25" s="2" t="s">
        <v>267</v>
      </c>
      <c r="B25" s="2" t="s">
        <v>268</v>
      </c>
      <c r="C25" s="2" t="s">
        <v>82</v>
      </c>
      <c r="D25" s="2" t="str">
        <f aca="false">Calendar!F32</f>
        <v>E031</v>
      </c>
      <c r="E25" s="3" t="n">
        <f aca="false">Calendar!B32</f>
        <v>46329</v>
      </c>
      <c r="F25" s="2" t="s">
        <v>271</v>
      </c>
      <c r="G25" s="2" t="s">
        <v>62</v>
      </c>
      <c r="H25" s="2" t="s">
        <v>1076</v>
      </c>
    </row>
    <row r="26" customFormat="false" ht="15" hidden="false" customHeight="false" outlineLevel="0" collapsed="false">
      <c r="A26" s="2" t="s">
        <v>274</v>
      </c>
      <c r="B26" s="2" t="s">
        <v>275</v>
      </c>
      <c r="C26" s="2" t="s">
        <v>224</v>
      </c>
      <c r="D26" s="2" t="str">
        <f aca="false">Calendar!F33</f>
        <v>E032</v>
      </c>
      <c r="E26" s="3" t="n">
        <f aca="false">Calendar!B33</f>
        <v>46329</v>
      </c>
      <c r="F26" s="2" t="s">
        <v>278</v>
      </c>
      <c r="G26" s="2" t="s">
        <v>31</v>
      </c>
      <c r="H26" s="13" t="s">
        <v>1075</v>
      </c>
    </row>
    <row r="27" customFormat="false" ht="15" hidden="false" customHeight="false" outlineLevel="0" collapsed="false">
      <c r="A27" s="2" t="s">
        <v>322</v>
      </c>
      <c r="B27" s="2" t="s">
        <v>323</v>
      </c>
      <c r="C27" s="2" t="s">
        <v>82</v>
      </c>
      <c r="D27" s="2" t="str">
        <f aca="false">Calendar!F34</f>
        <v>E033</v>
      </c>
      <c r="E27" s="3" t="n">
        <f aca="false">Calendar!B34</f>
        <v>46330</v>
      </c>
      <c r="F27" s="2" t="s">
        <v>103</v>
      </c>
      <c r="G27" s="2" t="s">
        <v>62</v>
      </c>
      <c r="H27" s="2" t="s">
        <v>1074</v>
      </c>
    </row>
    <row r="28" customFormat="false" ht="15" hidden="false" customHeight="false" outlineLevel="0" collapsed="false">
      <c r="A28" s="2" t="s">
        <v>289</v>
      </c>
      <c r="B28" s="2" t="s">
        <v>290</v>
      </c>
      <c r="C28" s="2" t="s">
        <v>254</v>
      </c>
      <c r="D28" s="2" t="str">
        <f aca="false">Calendar!F35</f>
        <v>E034</v>
      </c>
      <c r="E28" s="3" t="n">
        <f aca="false">Calendar!B35</f>
        <v>46330</v>
      </c>
      <c r="F28" s="2" t="s">
        <v>293</v>
      </c>
      <c r="G28" s="2" t="s">
        <v>31</v>
      </c>
      <c r="H28" s="13" t="s">
        <v>1077</v>
      </c>
    </row>
    <row r="29" customFormat="false" ht="15" hidden="false" customHeight="false" outlineLevel="0" collapsed="false">
      <c r="A29" s="2" t="s">
        <v>315</v>
      </c>
      <c r="B29" s="2" t="s">
        <v>316</v>
      </c>
      <c r="C29" s="2" t="s">
        <v>82</v>
      </c>
      <c r="D29" s="2" t="str">
        <f aca="false">Calendar!F39</f>
        <v>E038</v>
      </c>
      <c r="E29" s="3" t="n">
        <f aca="false">Calendar!B39</f>
        <v>46332</v>
      </c>
      <c r="F29" s="2" t="s">
        <v>319</v>
      </c>
      <c r="G29" s="2" t="s">
        <v>62</v>
      </c>
      <c r="H29" s="2" t="s">
        <v>1076</v>
      </c>
    </row>
    <row r="30" customFormat="false" ht="23.85" hidden="false" customHeight="false" outlineLevel="0" collapsed="false">
      <c r="A30" s="2" t="s">
        <v>328</v>
      </c>
      <c r="B30" s="2" t="s">
        <v>329</v>
      </c>
      <c r="C30" s="2" t="s">
        <v>183</v>
      </c>
      <c r="D30" s="2" t="str">
        <f aca="false">Calendar!F41</f>
        <v>E040</v>
      </c>
      <c r="E30" s="3" t="n">
        <f aca="false">Calendar!B41</f>
        <v>46333</v>
      </c>
      <c r="F30" s="2" t="s">
        <v>332</v>
      </c>
      <c r="G30" s="2" t="s">
        <v>44</v>
      </c>
      <c r="H30" s="2" t="s">
        <v>1074</v>
      </c>
    </row>
    <row r="31" customFormat="false" ht="15" hidden="false" customHeight="false" outlineLevel="0" collapsed="false">
      <c r="A31" s="2" t="s">
        <v>344</v>
      </c>
      <c r="B31" s="2" t="s">
        <v>345</v>
      </c>
      <c r="C31" s="2" t="s">
        <v>91</v>
      </c>
      <c r="D31" s="2" t="str">
        <f aca="false">Calendar!F44</f>
        <v>E043</v>
      </c>
      <c r="E31" s="3" t="n">
        <f aca="false">Calendar!B44</f>
        <v>46335</v>
      </c>
      <c r="F31" s="2" t="s">
        <v>348</v>
      </c>
      <c r="G31" s="2" t="s">
        <v>62</v>
      </c>
      <c r="H31" s="2" t="s">
        <v>1074</v>
      </c>
    </row>
    <row r="32" customFormat="false" ht="15" hidden="false" customHeight="false" outlineLevel="0" collapsed="false">
      <c r="A32" s="2" t="s">
        <v>351</v>
      </c>
      <c r="B32" s="2" t="s">
        <v>352</v>
      </c>
      <c r="C32" s="2" t="s">
        <v>82</v>
      </c>
      <c r="D32" s="2" t="str">
        <f aca="false">Calendar!F45</f>
        <v>E044</v>
      </c>
      <c r="E32" s="3" t="n">
        <f aca="false">Calendar!B45</f>
        <v>46335</v>
      </c>
      <c r="F32" s="2" t="s">
        <v>278</v>
      </c>
      <c r="G32" s="2" t="s">
        <v>62</v>
      </c>
      <c r="H32" s="2" t="s">
        <v>1074</v>
      </c>
    </row>
    <row r="33" customFormat="false" ht="23.85" hidden="false" customHeight="false" outlineLevel="0" collapsed="false">
      <c r="A33" s="2" t="s">
        <v>357</v>
      </c>
      <c r="B33" s="2" t="s">
        <v>358</v>
      </c>
      <c r="C33" s="2" t="s">
        <v>126</v>
      </c>
      <c r="D33" s="2" t="str">
        <f aca="false">Calendar!F46</f>
        <v>E045</v>
      </c>
      <c r="E33" s="3" t="n">
        <f aca="false">Calendar!B46</f>
        <v>46336</v>
      </c>
      <c r="F33" s="2" t="s">
        <v>178</v>
      </c>
      <c r="G33" s="2" t="s">
        <v>44</v>
      </c>
      <c r="H33" s="2" t="s">
        <v>1076</v>
      </c>
    </row>
    <row r="34" customFormat="false" ht="15" hidden="false" customHeight="false" outlineLevel="0" collapsed="false">
      <c r="A34" s="2" t="s">
        <v>363</v>
      </c>
      <c r="B34" s="2" t="s">
        <v>364</v>
      </c>
      <c r="C34" s="2" t="s">
        <v>126</v>
      </c>
      <c r="D34" s="2" t="str">
        <f aca="false">Calendar!F47</f>
        <v>E046</v>
      </c>
      <c r="E34" s="3" t="n">
        <f aca="false">Calendar!B47</f>
        <v>46336</v>
      </c>
      <c r="F34" s="2" t="s">
        <v>103</v>
      </c>
      <c r="G34" s="2" t="s">
        <v>62</v>
      </c>
      <c r="H34" s="2" t="s">
        <v>1074</v>
      </c>
    </row>
    <row r="35" customFormat="false" ht="15" hidden="false" customHeight="false" outlineLevel="0" collapsed="false">
      <c r="A35" s="2" t="s">
        <v>851</v>
      </c>
      <c r="B35" s="2" t="s">
        <v>852</v>
      </c>
      <c r="C35" s="2" t="s">
        <v>82</v>
      </c>
      <c r="D35" s="2" t="str">
        <f aca="false">Calendar!F48</f>
        <v>E047</v>
      </c>
      <c r="E35" s="3" t="n">
        <f aca="false">Calendar!B48</f>
        <v>46337</v>
      </c>
      <c r="F35" s="2" t="s">
        <v>855</v>
      </c>
      <c r="G35" s="2" t="s">
        <v>62</v>
      </c>
      <c r="H35" s="2" t="s">
        <v>1074</v>
      </c>
    </row>
    <row r="36" customFormat="false" ht="15" hidden="false" customHeight="false" outlineLevel="0" collapsed="false">
      <c r="A36" s="2" t="s">
        <v>712</v>
      </c>
      <c r="B36" s="2" t="s">
        <v>713</v>
      </c>
      <c r="C36" s="2" t="s">
        <v>82</v>
      </c>
      <c r="D36" s="2" t="str">
        <f aca="false">Calendar!F48</f>
        <v>E047</v>
      </c>
      <c r="E36" s="3" t="n">
        <f aca="false">Calendar!B48</f>
        <v>46337</v>
      </c>
      <c r="F36" s="2" t="s">
        <v>716</v>
      </c>
      <c r="G36" s="2" t="s">
        <v>62</v>
      </c>
      <c r="H36" s="2" t="s">
        <v>1074</v>
      </c>
    </row>
    <row r="37" customFormat="false" ht="15" hidden="false" customHeight="false" outlineLevel="0" collapsed="false">
      <c r="A37" s="2" t="s">
        <v>375</v>
      </c>
      <c r="B37" s="2" t="s">
        <v>376</v>
      </c>
      <c r="C37" s="2" t="s">
        <v>82</v>
      </c>
      <c r="D37" s="2" t="str">
        <f aca="false">Calendar!F49</f>
        <v>E048</v>
      </c>
      <c r="E37" s="3" t="n">
        <f aca="false">Calendar!B49</f>
        <v>46337</v>
      </c>
      <c r="F37" s="2" t="s">
        <v>379</v>
      </c>
      <c r="G37" s="2" t="s">
        <v>62</v>
      </c>
      <c r="H37" s="2" t="s">
        <v>1074</v>
      </c>
    </row>
    <row r="38" customFormat="false" ht="15" hidden="false" customHeight="false" outlineLevel="0" collapsed="false">
      <c r="A38" s="2" t="s">
        <v>382</v>
      </c>
      <c r="B38" s="2" t="s">
        <v>383</v>
      </c>
      <c r="C38" s="2" t="s">
        <v>224</v>
      </c>
      <c r="D38" s="2" t="str">
        <f aca="false">Calendar!F50</f>
        <v>E049</v>
      </c>
      <c r="E38" s="3" t="n">
        <f aca="false">Calendar!B50</f>
        <v>46338</v>
      </c>
      <c r="F38" s="2" t="s">
        <v>386</v>
      </c>
      <c r="G38" s="2" t="s">
        <v>62</v>
      </c>
      <c r="H38" s="2" t="s">
        <v>1074</v>
      </c>
    </row>
    <row r="39" customFormat="false" ht="23.85" hidden="false" customHeight="false" outlineLevel="0" collapsed="false">
      <c r="A39" s="2" t="s">
        <v>399</v>
      </c>
      <c r="B39" s="2" t="s">
        <v>400</v>
      </c>
      <c r="C39" s="2" t="s">
        <v>126</v>
      </c>
      <c r="D39" s="2" t="str">
        <f aca="false">Calendar!F53</f>
        <v>E052</v>
      </c>
      <c r="E39" s="3" t="n">
        <f aca="false">Calendar!B53</f>
        <v>46339</v>
      </c>
      <c r="F39" s="2" t="s">
        <v>178</v>
      </c>
      <c r="G39" s="2" t="s">
        <v>44</v>
      </c>
      <c r="H39" s="2" t="s">
        <v>1076</v>
      </c>
    </row>
    <row r="40" customFormat="false" ht="15" hidden="false" customHeight="false" outlineLevel="0" collapsed="false">
      <c r="A40" s="2" t="s">
        <v>405</v>
      </c>
      <c r="B40" s="2" t="s">
        <v>406</v>
      </c>
      <c r="C40" s="2" t="s">
        <v>82</v>
      </c>
      <c r="D40" s="2" t="str">
        <f aca="false">Calendar!F54</f>
        <v>E053</v>
      </c>
      <c r="E40" s="3" t="n">
        <f aca="false">Calendar!B54</f>
        <v>46340</v>
      </c>
      <c r="F40" s="2" t="s">
        <v>103</v>
      </c>
      <c r="G40" s="2" t="s">
        <v>62</v>
      </c>
      <c r="H40" s="2" t="s">
        <v>1074</v>
      </c>
    </row>
    <row r="41" customFormat="false" ht="23.85" hidden="false" customHeight="false" outlineLevel="0" collapsed="false">
      <c r="A41" s="2" t="s">
        <v>411</v>
      </c>
      <c r="B41" s="2" t="s">
        <v>412</v>
      </c>
      <c r="C41" s="2" t="s">
        <v>82</v>
      </c>
      <c r="D41" s="2" t="str">
        <f aca="false">Calendar!F55</f>
        <v>E054</v>
      </c>
      <c r="E41" s="3" t="n">
        <f aca="false">Calendar!B55</f>
        <v>46340</v>
      </c>
      <c r="F41" s="2" t="s">
        <v>415</v>
      </c>
      <c r="G41" s="2" t="s">
        <v>44</v>
      </c>
      <c r="H41" s="2" t="s">
        <v>1074</v>
      </c>
    </row>
    <row r="42" customFormat="false" ht="23.85" hidden="false" customHeight="false" outlineLevel="0" collapsed="false">
      <c r="A42" s="2" t="s">
        <v>422</v>
      </c>
      <c r="B42" s="2" t="s">
        <v>423</v>
      </c>
      <c r="C42" s="2" t="s">
        <v>126</v>
      </c>
      <c r="D42" s="2" t="str">
        <f aca="false">Calendar!F57</f>
        <v>E056</v>
      </c>
      <c r="E42" s="3" t="n">
        <f aca="false">Calendar!B57</f>
        <v>46341</v>
      </c>
      <c r="F42" s="2" t="s">
        <v>121</v>
      </c>
      <c r="G42" s="2" t="s">
        <v>44</v>
      </c>
      <c r="H42" s="2" t="s">
        <v>1076</v>
      </c>
    </row>
    <row r="43" customFormat="false" ht="23.85" hidden="false" customHeight="false" outlineLevel="0" collapsed="false">
      <c r="A43" s="2" t="s">
        <v>435</v>
      </c>
      <c r="B43" s="2" t="s">
        <v>436</v>
      </c>
      <c r="C43" s="2" t="s">
        <v>58</v>
      </c>
      <c r="D43" s="2" t="str">
        <f aca="false">Calendar!F59</f>
        <v>E058</v>
      </c>
      <c r="E43" s="3" t="n">
        <f aca="false">Calendar!B59</f>
        <v>46342</v>
      </c>
      <c r="F43" s="2" t="s">
        <v>439</v>
      </c>
      <c r="G43" s="2" t="s">
        <v>44</v>
      </c>
      <c r="H43" s="2" t="s">
        <v>1074</v>
      </c>
    </row>
    <row r="44" customFormat="false" ht="15" hidden="false" customHeight="false" outlineLevel="0" collapsed="false">
      <c r="A44" s="2" t="s">
        <v>451</v>
      </c>
      <c r="B44" s="2" t="s">
        <v>452</v>
      </c>
      <c r="C44" s="2" t="s">
        <v>183</v>
      </c>
      <c r="D44" s="2" t="str">
        <f aca="false">Calendar!F61</f>
        <v>E060</v>
      </c>
      <c r="E44" s="3" t="n">
        <f aca="false">Calendar!B61</f>
        <v>46343</v>
      </c>
      <c r="F44" s="2" t="s">
        <v>455</v>
      </c>
      <c r="G44" s="2" t="s">
        <v>62</v>
      </c>
      <c r="H44" s="2" t="s">
        <v>1074</v>
      </c>
    </row>
    <row r="45" customFormat="false" ht="15" hidden="false" customHeight="false" outlineLevel="0" collapsed="false">
      <c r="A45" s="2" t="s">
        <v>621</v>
      </c>
      <c r="B45" s="2" t="s">
        <v>622</v>
      </c>
      <c r="C45" s="2" t="s">
        <v>91</v>
      </c>
      <c r="D45" s="2" t="str">
        <f aca="false">Calendar!F62</f>
        <v>E061</v>
      </c>
      <c r="E45" s="3" t="n">
        <f aca="false">Calendar!B62</f>
        <v>46344</v>
      </c>
      <c r="F45" s="2" t="s">
        <v>121</v>
      </c>
      <c r="G45" s="2" t="s">
        <v>62</v>
      </c>
      <c r="H45" s="2" t="s">
        <v>1076</v>
      </c>
    </row>
    <row r="46" customFormat="false" ht="23.85" hidden="false" customHeight="false" outlineLevel="0" collapsed="false">
      <c r="A46" s="2" t="s">
        <v>592</v>
      </c>
      <c r="B46" s="2" t="s">
        <v>593</v>
      </c>
      <c r="C46" s="2" t="s">
        <v>91</v>
      </c>
      <c r="D46" s="2" t="str">
        <f aca="false">Calendar!F62</f>
        <v>E061</v>
      </c>
      <c r="E46" s="3" t="n">
        <f aca="false">Calendar!B62</f>
        <v>46344</v>
      </c>
      <c r="F46" s="2" t="s">
        <v>596</v>
      </c>
      <c r="G46" s="2" t="s">
        <v>44</v>
      </c>
      <c r="H46" s="2" t="s">
        <v>1076</v>
      </c>
    </row>
    <row r="47" customFormat="false" ht="15" hidden="false" customHeight="false" outlineLevel="0" collapsed="false">
      <c r="A47" s="2" t="s">
        <v>466</v>
      </c>
      <c r="B47" s="2" t="s">
        <v>467</v>
      </c>
      <c r="C47" s="2" t="s">
        <v>58</v>
      </c>
      <c r="D47" s="2" t="str">
        <f aca="false">Calendar!F63</f>
        <v>E062</v>
      </c>
      <c r="E47" s="3" t="n">
        <f aca="false">Calendar!B63</f>
        <v>46344</v>
      </c>
      <c r="F47" s="2" t="s">
        <v>470</v>
      </c>
      <c r="G47" s="2" t="s">
        <v>62</v>
      </c>
      <c r="H47" s="2" t="s">
        <v>1074</v>
      </c>
    </row>
    <row r="48" customFormat="false" ht="15" hidden="false" customHeight="false" outlineLevel="0" collapsed="false">
      <c r="A48" s="2" t="s">
        <v>473</v>
      </c>
      <c r="B48" s="2" t="s">
        <v>474</v>
      </c>
      <c r="C48" s="2" t="s">
        <v>27</v>
      </c>
      <c r="D48" s="2" t="str">
        <f aca="false">Calendar!F64</f>
        <v>E063</v>
      </c>
      <c r="E48" s="3" t="n">
        <f aca="false">Calendar!B64</f>
        <v>46345</v>
      </c>
      <c r="F48" s="2" t="s">
        <v>477</v>
      </c>
      <c r="G48" s="2" t="s">
        <v>62</v>
      </c>
      <c r="H48" s="2" t="s">
        <v>1076</v>
      </c>
    </row>
    <row r="49" customFormat="false" ht="15" hidden="false" customHeight="false" outlineLevel="0" collapsed="false">
      <c r="A49" s="2" t="s">
        <v>551</v>
      </c>
      <c r="B49" s="2" t="s">
        <v>481</v>
      </c>
      <c r="C49" s="2" t="s">
        <v>82</v>
      </c>
      <c r="D49" s="2" t="str">
        <f aca="false">Calendar!F65</f>
        <v>E064</v>
      </c>
      <c r="E49" s="3" t="n">
        <f aca="false">Calendar!B65</f>
        <v>46345</v>
      </c>
      <c r="F49" s="2" t="s">
        <v>483</v>
      </c>
      <c r="G49" s="2" t="s">
        <v>62</v>
      </c>
      <c r="H49" s="2" t="s">
        <v>1074</v>
      </c>
    </row>
    <row r="50" customFormat="false" ht="15" hidden="false" customHeight="false" outlineLevel="0" collapsed="false">
      <c r="A50" s="2" t="s">
        <v>493</v>
      </c>
      <c r="B50" s="2" t="s">
        <v>494</v>
      </c>
      <c r="C50" s="2" t="s">
        <v>82</v>
      </c>
      <c r="D50" s="2" t="str">
        <f aca="false">Calendar!F68</f>
        <v>E067</v>
      </c>
      <c r="E50" s="3" t="n">
        <f aca="false">Calendar!B68</f>
        <v>46347</v>
      </c>
      <c r="F50" s="2" t="s">
        <v>497</v>
      </c>
      <c r="G50" s="2" t="s">
        <v>62</v>
      </c>
      <c r="H50" s="2" t="s">
        <v>1074</v>
      </c>
    </row>
    <row r="51" customFormat="false" ht="23.85" hidden="false" customHeight="false" outlineLevel="0" collapsed="false">
      <c r="A51" s="2" t="s">
        <v>500</v>
      </c>
      <c r="B51" s="2" t="s">
        <v>501</v>
      </c>
      <c r="C51" s="2" t="s">
        <v>91</v>
      </c>
      <c r="D51" s="2" t="str">
        <f aca="false">Calendar!F69</f>
        <v>E068</v>
      </c>
      <c r="E51" s="3" t="n">
        <f aca="false">Calendar!B69</f>
        <v>46347</v>
      </c>
      <c r="F51" s="2" t="s">
        <v>504</v>
      </c>
      <c r="G51" s="2" t="s">
        <v>44</v>
      </c>
      <c r="H51" s="2" t="s">
        <v>1074</v>
      </c>
    </row>
    <row r="52" customFormat="false" ht="15" hidden="false" customHeight="false" outlineLevel="0" collapsed="false">
      <c r="A52" s="2" t="s">
        <v>516</v>
      </c>
      <c r="B52" s="2" t="s">
        <v>517</v>
      </c>
      <c r="C52" s="2" t="s">
        <v>126</v>
      </c>
      <c r="D52" s="2" t="str">
        <f aca="false">Calendar!F72</f>
        <v>E071</v>
      </c>
      <c r="E52" s="3" t="n">
        <f aca="false">Calendar!B72</f>
        <v>46349</v>
      </c>
      <c r="F52" s="2" t="s">
        <v>103</v>
      </c>
      <c r="G52" s="2" t="s">
        <v>62</v>
      </c>
      <c r="H52" s="2" t="s">
        <v>1074</v>
      </c>
    </row>
    <row r="53" customFormat="false" ht="15" hidden="false" customHeight="false" outlineLevel="0" collapsed="false">
      <c r="A53" s="2" t="s">
        <v>522</v>
      </c>
      <c r="B53" s="2" t="s">
        <v>523</v>
      </c>
      <c r="C53" s="2" t="s">
        <v>224</v>
      </c>
      <c r="D53" s="2" t="str">
        <f aca="false">Calendar!F73</f>
        <v>E072</v>
      </c>
      <c r="E53" s="3" t="n">
        <f aca="false">Calendar!B73</f>
        <v>46349</v>
      </c>
      <c r="F53" s="2" t="s">
        <v>526</v>
      </c>
      <c r="G53" s="2" t="s">
        <v>62</v>
      </c>
      <c r="H53" s="2" t="s">
        <v>1074</v>
      </c>
    </row>
    <row r="54" customFormat="false" ht="15" hidden="false" customHeight="false" outlineLevel="0" collapsed="false">
      <c r="A54" s="2" t="s">
        <v>530</v>
      </c>
      <c r="B54" s="2" t="s">
        <v>531</v>
      </c>
      <c r="C54" s="2" t="s">
        <v>58</v>
      </c>
      <c r="D54" s="2" t="str">
        <f aca="false">Calendar!F75</f>
        <v>E074</v>
      </c>
      <c r="E54" s="3" t="n">
        <f aca="false">Calendar!B75</f>
        <v>46350</v>
      </c>
      <c r="F54" s="2" t="s">
        <v>534</v>
      </c>
      <c r="G54" s="2" t="s">
        <v>62</v>
      </c>
      <c r="H54" s="2" t="s">
        <v>1074</v>
      </c>
    </row>
    <row r="55" customFormat="false" ht="15" hidden="false" customHeight="false" outlineLevel="0" collapsed="false">
      <c r="A55" s="2" t="s">
        <v>586</v>
      </c>
      <c r="B55" s="2" t="s">
        <v>587</v>
      </c>
      <c r="C55" s="2" t="s">
        <v>183</v>
      </c>
      <c r="D55" s="2" t="str">
        <f aca="false">Calendar!F76</f>
        <v>E075</v>
      </c>
      <c r="E55" s="3" t="n">
        <f aca="false">Calendar!B76</f>
        <v>46351</v>
      </c>
      <c r="F55" s="2" t="s">
        <v>129</v>
      </c>
      <c r="G55" s="2" t="s">
        <v>62</v>
      </c>
      <c r="H55" s="2" t="s">
        <v>1074</v>
      </c>
    </row>
    <row r="56" customFormat="false" ht="15" hidden="false" customHeight="false" outlineLevel="0" collapsed="false">
      <c r="A56" s="2" t="s">
        <v>544</v>
      </c>
      <c r="B56" s="2" t="s">
        <v>545</v>
      </c>
      <c r="C56" s="2" t="s">
        <v>254</v>
      </c>
      <c r="D56" s="2" t="str">
        <f aca="false">Calendar!F77</f>
        <v>E076</v>
      </c>
      <c r="E56" s="3" t="n">
        <f aca="false">Calendar!B77</f>
        <v>46351</v>
      </c>
      <c r="F56" s="2" t="s">
        <v>548</v>
      </c>
      <c r="G56" s="2" t="s">
        <v>31</v>
      </c>
      <c r="H56" s="13" t="s">
        <v>1077</v>
      </c>
    </row>
    <row r="57" customFormat="false" ht="15" hidden="false" customHeight="false" outlineLevel="0" collapsed="false">
      <c r="A57" s="2" t="s">
        <v>568</v>
      </c>
      <c r="B57" s="2" t="s">
        <v>569</v>
      </c>
      <c r="C57" s="2" t="s">
        <v>254</v>
      </c>
      <c r="D57" s="2" t="str">
        <f aca="false">Calendar!F82</f>
        <v>E081</v>
      </c>
      <c r="E57" s="3" t="n">
        <f aca="false">Calendar!B82</f>
        <v>46354</v>
      </c>
      <c r="F57" s="2" t="s">
        <v>121</v>
      </c>
      <c r="G57" s="2" t="s">
        <v>62</v>
      </c>
      <c r="H57" s="2" t="s">
        <v>1076</v>
      </c>
    </row>
    <row r="58" customFormat="false" ht="15" hidden="false" customHeight="false" outlineLevel="0" collapsed="false">
      <c r="A58" s="2" t="s">
        <v>574</v>
      </c>
      <c r="B58" s="2" t="s">
        <v>575</v>
      </c>
      <c r="C58" s="2" t="s">
        <v>183</v>
      </c>
      <c r="D58" s="2" t="str">
        <f aca="false">Calendar!F83</f>
        <v>E082</v>
      </c>
      <c r="E58" s="3" t="n">
        <f aca="false">Calendar!B83</f>
        <v>46354</v>
      </c>
      <c r="F58" s="2" t="s">
        <v>578</v>
      </c>
      <c r="G58" s="2" t="s">
        <v>62</v>
      </c>
      <c r="H58" s="2" t="s">
        <v>1074</v>
      </c>
    </row>
    <row r="59" customFormat="false" ht="15" hidden="false" customHeight="false" outlineLevel="0" collapsed="false">
      <c r="A59" s="2" t="s">
        <v>600</v>
      </c>
      <c r="B59" s="2" t="s">
        <v>601</v>
      </c>
      <c r="C59" s="2" t="s">
        <v>58</v>
      </c>
      <c r="D59" s="2" t="str">
        <f aca="false">Calendar!F89</f>
        <v>E088</v>
      </c>
      <c r="E59" s="3" t="n">
        <f aca="false">Calendar!B89</f>
        <v>46357</v>
      </c>
      <c r="F59" s="2" t="s">
        <v>604</v>
      </c>
      <c r="G59" s="2" t="s">
        <v>62</v>
      </c>
      <c r="H59" s="2" t="s">
        <v>1076</v>
      </c>
    </row>
    <row r="60" customFormat="false" ht="15" hidden="false" customHeight="false" outlineLevel="0" collapsed="false">
      <c r="A60" s="2" t="s">
        <v>614</v>
      </c>
      <c r="B60" s="2" t="s">
        <v>615</v>
      </c>
      <c r="C60" s="2" t="s">
        <v>126</v>
      </c>
      <c r="D60" s="2" t="str">
        <f aca="false">Calendar!F91</f>
        <v>E090</v>
      </c>
      <c r="E60" s="3" t="n">
        <f aca="false">Calendar!B91</f>
        <v>46358</v>
      </c>
      <c r="F60" s="2" t="s">
        <v>618</v>
      </c>
      <c r="G60" s="2" t="s">
        <v>62</v>
      </c>
      <c r="H60" s="2" t="s">
        <v>1074</v>
      </c>
    </row>
    <row r="61" customFormat="false" ht="15" hidden="false" customHeight="false" outlineLevel="0" collapsed="false">
      <c r="A61" s="2" t="s">
        <v>719</v>
      </c>
      <c r="B61" s="2" t="s">
        <v>720</v>
      </c>
      <c r="C61" s="2" t="s">
        <v>126</v>
      </c>
      <c r="D61" s="2" t="str">
        <f aca="false">Calendar!F94</f>
        <v>E093</v>
      </c>
      <c r="E61" s="3" t="n">
        <f aca="false">Calendar!B94</f>
        <v>46360</v>
      </c>
      <c r="F61" s="2" t="s">
        <v>103</v>
      </c>
      <c r="G61" s="2" t="s">
        <v>62</v>
      </c>
      <c r="H61" s="2" t="s">
        <v>1074</v>
      </c>
    </row>
    <row r="62" customFormat="false" ht="15" hidden="false" customHeight="false" outlineLevel="0" collapsed="false">
      <c r="A62" s="2" t="s">
        <v>639</v>
      </c>
      <c r="B62" s="2" t="s">
        <v>640</v>
      </c>
      <c r="C62" s="2" t="s">
        <v>27</v>
      </c>
      <c r="D62" s="2" t="str">
        <f aca="false">Calendar!F96</f>
        <v>E095</v>
      </c>
      <c r="E62" s="3" t="n">
        <f aca="false">Calendar!B96</f>
        <v>46361</v>
      </c>
      <c r="F62" s="2" t="s">
        <v>278</v>
      </c>
      <c r="G62" s="2" t="s">
        <v>62</v>
      </c>
      <c r="H62" s="2" t="s">
        <v>1074</v>
      </c>
    </row>
    <row r="63" customFormat="false" ht="23.85" hidden="false" customHeight="false" outlineLevel="0" collapsed="false">
      <c r="A63" s="2" t="s">
        <v>645</v>
      </c>
      <c r="B63" s="2" t="s">
        <v>646</v>
      </c>
      <c r="C63" s="2" t="s">
        <v>224</v>
      </c>
      <c r="D63" s="2" t="str">
        <f aca="false">Calendar!F97</f>
        <v>E096</v>
      </c>
      <c r="E63" s="3" t="n">
        <f aca="false">Calendar!B97</f>
        <v>46361</v>
      </c>
      <c r="F63" s="2" t="s">
        <v>649</v>
      </c>
      <c r="G63" s="2" t="s">
        <v>44</v>
      </c>
      <c r="H63" s="2" t="s">
        <v>1074</v>
      </c>
    </row>
    <row r="64" customFormat="false" ht="15" hidden="false" customHeight="false" outlineLevel="0" collapsed="false">
      <c r="A64" s="2" t="s">
        <v>661</v>
      </c>
      <c r="B64" s="2" t="s">
        <v>662</v>
      </c>
      <c r="C64" s="2" t="s">
        <v>58</v>
      </c>
      <c r="D64" s="2" t="str">
        <f aca="false">Calendar!F100</f>
        <v>E099</v>
      </c>
      <c r="E64" s="3" t="n">
        <f aca="false">Calendar!B100</f>
        <v>46363</v>
      </c>
      <c r="F64" s="2" t="s">
        <v>121</v>
      </c>
      <c r="G64" s="2" t="s">
        <v>62</v>
      </c>
      <c r="H64" s="2" t="s">
        <v>1076</v>
      </c>
    </row>
    <row r="65" customFormat="false" ht="23.85" hidden="false" customHeight="false" outlineLevel="0" collapsed="false">
      <c r="A65" s="2" t="s">
        <v>667</v>
      </c>
      <c r="B65" s="2" t="s">
        <v>668</v>
      </c>
      <c r="C65" s="2" t="s">
        <v>224</v>
      </c>
      <c r="D65" s="2" t="str">
        <f aca="false">Calendar!F101</f>
        <v>E100</v>
      </c>
      <c r="E65" s="3" t="n">
        <f aca="false">Calendar!B101</f>
        <v>46363</v>
      </c>
      <c r="F65" s="2" t="s">
        <v>671</v>
      </c>
      <c r="G65" s="2" t="s">
        <v>44</v>
      </c>
      <c r="H65" s="2" t="s">
        <v>1074</v>
      </c>
    </row>
    <row r="66" customFormat="false" ht="15" hidden="false" customHeight="false" outlineLevel="0" collapsed="false">
      <c r="A66" s="2" t="s">
        <v>675</v>
      </c>
      <c r="B66" s="2" t="s">
        <v>676</v>
      </c>
      <c r="C66" s="2" t="s">
        <v>126</v>
      </c>
      <c r="D66" s="2" t="str">
        <f aca="false">Calendar!F103</f>
        <v>E102</v>
      </c>
      <c r="E66" s="3" t="n">
        <f aca="false">Calendar!B103</f>
        <v>46364</v>
      </c>
      <c r="F66" s="2" t="s">
        <v>679</v>
      </c>
      <c r="G66" s="2" t="s">
        <v>31</v>
      </c>
      <c r="H66" s="13" t="s">
        <v>1078</v>
      </c>
    </row>
    <row r="67" customFormat="false" ht="15" hidden="false" customHeight="false" outlineLevel="0" collapsed="false">
      <c r="A67" s="2" t="s">
        <v>745</v>
      </c>
      <c r="B67" s="2" t="s">
        <v>746</v>
      </c>
      <c r="C67" s="2" t="s">
        <v>91</v>
      </c>
      <c r="D67" s="2" t="str">
        <f aca="false">Calendar!F104</f>
        <v>E103</v>
      </c>
      <c r="E67" s="3" t="n">
        <f aca="false">Calendar!B104</f>
        <v>46365</v>
      </c>
      <c r="F67" s="2" t="s">
        <v>749</v>
      </c>
      <c r="G67" s="2" t="s">
        <v>62</v>
      </c>
      <c r="H67" s="2" t="s">
        <v>1074</v>
      </c>
    </row>
    <row r="68" customFormat="false" ht="15" hidden="false" customHeight="false" outlineLevel="0" collapsed="false">
      <c r="A68" s="2" t="s">
        <v>688</v>
      </c>
      <c r="B68" s="2" t="s">
        <v>689</v>
      </c>
      <c r="C68" s="2" t="s">
        <v>254</v>
      </c>
      <c r="D68" s="2" t="str">
        <f aca="false">Calendar!F105</f>
        <v>E104</v>
      </c>
      <c r="E68" s="3" t="n">
        <f aca="false">Calendar!B105</f>
        <v>46365</v>
      </c>
      <c r="F68" s="2" t="s">
        <v>379</v>
      </c>
      <c r="G68" s="2" t="s">
        <v>62</v>
      </c>
      <c r="H68" s="2" t="s">
        <v>1074</v>
      </c>
    </row>
    <row r="69" customFormat="false" ht="15" hidden="false" customHeight="false" outlineLevel="0" collapsed="false">
      <c r="A69" s="2" t="s">
        <v>694</v>
      </c>
      <c r="B69" s="2" t="s">
        <v>695</v>
      </c>
      <c r="C69" s="2" t="s">
        <v>58</v>
      </c>
      <c r="D69" s="2" t="str">
        <f aca="false">Calendar!F106</f>
        <v>E105</v>
      </c>
      <c r="E69" s="3" t="n">
        <f aca="false">Calendar!B106</f>
        <v>46366</v>
      </c>
      <c r="F69" s="2" t="s">
        <v>121</v>
      </c>
      <c r="G69" s="2" t="s">
        <v>62</v>
      </c>
      <c r="H69" s="2" t="s">
        <v>1076</v>
      </c>
    </row>
    <row r="70" customFormat="false" ht="15" hidden="false" customHeight="false" outlineLevel="0" collapsed="false">
      <c r="A70" s="2" t="s">
        <v>876</v>
      </c>
      <c r="B70" s="2" t="s">
        <v>877</v>
      </c>
      <c r="C70" s="2" t="s">
        <v>224</v>
      </c>
      <c r="D70" s="2" t="str">
        <f aca="false">Calendar!F108</f>
        <v>E107</v>
      </c>
      <c r="E70" s="3" t="n">
        <f aca="false">Calendar!B108</f>
        <v>46367</v>
      </c>
      <c r="F70" s="2" t="s">
        <v>880</v>
      </c>
      <c r="G70" s="2" t="s">
        <v>62</v>
      </c>
      <c r="H70" s="2" t="s">
        <v>1076</v>
      </c>
    </row>
    <row r="71" customFormat="false" ht="15" hidden="false" customHeight="false" outlineLevel="0" collapsed="false">
      <c r="A71" s="2" t="s">
        <v>730</v>
      </c>
      <c r="B71" s="2" t="s">
        <v>731</v>
      </c>
      <c r="C71" s="2" t="s">
        <v>224</v>
      </c>
      <c r="D71" s="2" t="str">
        <f aca="false">Calendar!F114</f>
        <v>E113</v>
      </c>
      <c r="E71" s="3" t="n">
        <f aca="false">Calendar!B114</f>
        <v>46370</v>
      </c>
      <c r="F71" s="2" t="s">
        <v>734</v>
      </c>
      <c r="G71" s="2" t="s">
        <v>31</v>
      </c>
      <c r="H71" s="13" t="s">
        <v>1078</v>
      </c>
    </row>
    <row r="72" customFormat="false" ht="23.85" hidden="false" customHeight="false" outlineLevel="0" collapsed="false">
      <c r="A72" s="2" t="s">
        <v>737</v>
      </c>
      <c r="B72" s="2" t="s">
        <v>738</v>
      </c>
      <c r="C72" s="2" t="s">
        <v>27</v>
      </c>
      <c r="D72" s="2" t="str">
        <f aca="false">Calendar!F115</f>
        <v>E114</v>
      </c>
      <c r="E72" s="3" t="n">
        <f aca="false">Calendar!B115</f>
        <v>46370</v>
      </c>
      <c r="F72" s="2" t="s">
        <v>741</v>
      </c>
      <c r="G72" s="2" t="s">
        <v>44</v>
      </c>
      <c r="H72" s="2" t="s">
        <v>1076</v>
      </c>
    </row>
    <row r="73" customFormat="false" ht="15" hidden="false" customHeight="false" outlineLevel="0" collapsed="false">
      <c r="A73" s="2" t="s">
        <v>758</v>
      </c>
      <c r="B73" s="2" t="s">
        <v>759</v>
      </c>
      <c r="C73" s="2" t="s">
        <v>224</v>
      </c>
      <c r="D73" s="2" t="str">
        <f aca="false">Calendar!F119</f>
        <v>E118</v>
      </c>
      <c r="E73" s="3" t="n">
        <f aca="false">Calendar!B119</f>
        <v>46372</v>
      </c>
      <c r="F73" s="2" t="s">
        <v>379</v>
      </c>
      <c r="G73" s="2" t="s">
        <v>31</v>
      </c>
      <c r="H73" s="13" t="s">
        <v>1077</v>
      </c>
    </row>
    <row r="74" customFormat="false" ht="15" hidden="false" customHeight="false" outlineLevel="0" collapsed="false">
      <c r="A74" s="2" t="s">
        <v>764</v>
      </c>
      <c r="B74" s="2" t="s">
        <v>765</v>
      </c>
      <c r="C74" s="2" t="s">
        <v>82</v>
      </c>
      <c r="D74" s="2" t="str">
        <f aca="false">Calendar!F120</f>
        <v>E119</v>
      </c>
      <c r="E74" s="3" t="n">
        <f aca="false">Calendar!B120</f>
        <v>46373</v>
      </c>
      <c r="F74" s="2" t="s">
        <v>103</v>
      </c>
      <c r="G74" s="2" t="s">
        <v>62</v>
      </c>
      <c r="H74" s="2" t="s">
        <v>1074</v>
      </c>
    </row>
    <row r="75" customFormat="false" ht="15" hidden="false" customHeight="false" outlineLevel="0" collapsed="false">
      <c r="A75" s="2" t="s">
        <v>787</v>
      </c>
      <c r="B75" s="2" t="s">
        <v>788</v>
      </c>
      <c r="C75" s="2" t="s">
        <v>27</v>
      </c>
      <c r="D75" s="2" t="str">
        <f aca="false">Calendar!F125</f>
        <v>E124</v>
      </c>
      <c r="E75" s="3" t="n">
        <f aca="false">Calendar!B125</f>
        <v>46375</v>
      </c>
      <c r="F75" s="2" t="s">
        <v>121</v>
      </c>
      <c r="G75" s="2" t="s">
        <v>62</v>
      </c>
      <c r="H75" s="2" t="s">
        <v>1076</v>
      </c>
    </row>
    <row r="76" customFormat="false" ht="15" hidden="false" customHeight="false" outlineLevel="0" collapsed="false">
      <c r="A76" s="2" t="s">
        <v>805</v>
      </c>
      <c r="B76" s="2" t="s">
        <v>806</v>
      </c>
      <c r="C76" s="2" t="s">
        <v>27</v>
      </c>
      <c r="D76" s="2" t="str">
        <f aca="false">Calendar!F129</f>
        <v>E128</v>
      </c>
      <c r="E76" s="3" t="n">
        <f aca="false">Calendar!B129</f>
        <v>46377</v>
      </c>
      <c r="F76" s="2" t="s">
        <v>809</v>
      </c>
      <c r="G76" s="2" t="s">
        <v>62</v>
      </c>
      <c r="H76" s="2" t="s">
        <v>1076</v>
      </c>
    </row>
    <row r="77" customFormat="false" ht="15" hidden="false" customHeight="false" outlineLevel="0" collapsed="false">
      <c r="A77" s="2" t="s">
        <v>813</v>
      </c>
      <c r="B77" s="2" t="s">
        <v>814</v>
      </c>
      <c r="C77" s="2" t="s">
        <v>91</v>
      </c>
      <c r="D77" s="2" t="str">
        <f aca="false">Calendar!F131</f>
        <v>E130</v>
      </c>
      <c r="E77" s="3" t="n">
        <f aca="false">Calendar!B131</f>
        <v>46378</v>
      </c>
      <c r="F77" s="2" t="s">
        <v>817</v>
      </c>
      <c r="G77" s="2" t="s">
        <v>31</v>
      </c>
      <c r="H77" s="13" t="s">
        <v>1078</v>
      </c>
    </row>
    <row r="78" customFormat="false" ht="23.85" hidden="false" customHeight="false" outlineLevel="0" collapsed="false">
      <c r="A78" s="2" t="s">
        <v>828</v>
      </c>
      <c r="B78" s="2" t="s">
        <v>829</v>
      </c>
      <c r="C78" s="2" t="s">
        <v>58</v>
      </c>
      <c r="D78" s="2" t="str">
        <f aca="false">Calendar!F133</f>
        <v>E132</v>
      </c>
      <c r="E78" s="3" t="n">
        <f aca="false">Calendar!B133</f>
        <v>46379</v>
      </c>
      <c r="F78" s="2" t="s">
        <v>470</v>
      </c>
      <c r="G78" s="2" t="s">
        <v>44</v>
      </c>
      <c r="H78" s="2" t="s">
        <v>1074</v>
      </c>
    </row>
    <row r="79" customFormat="false" ht="15" hidden="false" customHeight="false" outlineLevel="0" collapsed="false">
      <c r="A79" s="2" t="s">
        <v>834</v>
      </c>
      <c r="B79" s="2" t="s">
        <v>835</v>
      </c>
      <c r="C79" s="2" t="s">
        <v>224</v>
      </c>
      <c r="D79" s="2" t="str">
        <f aca="false">Calendar!F134</f>
        <v>E133</v>
      </c>
      <c r="E79" s="3" t="n">
        <f aca="false">Calendar!B134</f>
        <v>46380</v>
      </c>
      <c r="F79" s="2" t="s">
        <v>817</v>
      </c>
      <c r="G79" s="2" t="s">
        <v>31</v>
      </c>
      <c r="H79" s="13" t="s">
        <v>1077</v>
      </c>
    </row>
    <row r="80" customFormat="false" ht="15" hidden="false" customHeight="false" outlineLevel="0" collapsed="false">
      <c r="A80" s="2" t="s">
        <v>858</v>
      </c>
      <c r="B80" s="2" t="s">
        <v>859</v>
      </c>
      <c r="C80" s="2" t="s">
        <v>58</v>
      </c>
      <c r="D80" s="2" t="str">
        <f aca="false">Calendar!F139</f>
        <v>E138</v>
      </c>
      <c r="E80" s="3" t="n">
        <f aca="false">Calendar!B139</f>
        <v>46382</v>
      </c>
      <c r="F80" s="2" t="s">
        <v>862</v>
      </c>
      <c r="G80" s="2" t="s">
        <v>62</v>
      </c>
      <c r="H80" s="2" t="s">
        <v>1076</v>
      </c>
    </row>
    <row r="81" customFormat="false" ht="15" hidden="false" customHeight="false" outlineLevel="0" collapsed="false">
      <c r="A81" s="2" t="s">
        <v>870</v>
      </c>
      <c r="B81" s="2" t="s">
        <v>871</v>
      </c>
      <c r="C81" s="2" t="s">
        <v>91</v>
      </c>
      <c r="D81" s="2" t="str">
        <f aca="false">Calendar!F142</f>
        <v>E141</v>
      </c>
      <c r="E81" s="3" t="n">
        <f aca="false">Calendar!B142</f>
        <v>46384</v>
      </c>
      <c r="F81" s="2" t="s">
        <v>103</v>
      </c>
      <c r="G81" s="2" t="s">
        <v>31</v>
      </c>
      <c r="H81" s="13" t="s">
        <v>1078</v>
      </c>
    </row>
    <row r="82" customFormat="false" ht="15" hidden="false" customHeight="false" outlineLevel="0" collapsed="false">
      <c r="A82" s="2" t="s">
        <v>979</v>
      </c>
      <c r="B82" s="2" t="s">
        <v>980</v>
      </c>
      <c r="C82" s="2" t="s">
        <v>126</v>
      </c>
      <c r="D82" s="2" t="str">
        <f aca="false">Calendar!F146</f>
        <v>E145</v>
      </c>
      <c r="E82" s="3" t="n">
        <f aca="false">Calendar!B146</f>
        <v>46386</v>
      </c>
      <c r="F82" s="2" t="s">
        <v>103</v>
      </c>
      <c r="G82" s="2" t="s">
        <v>62</v>
      </c>
      <c r="H82" s="2" t="s">
        <v>1074</v>
      </c>
    </row>
    <row r="83" customFormat="false" ht="15" hidden="false" customHeight="false" outlineLevel="0" collapsed="false">
      <c r="A83" s="2" t="s">
        <v>1079</v>
      </c>
      <c r="B83" s="2" t="s">
        <v>1080</v>
      </c>
      <c r="C83" s="2" t="s">
        <v>126</v>
      </c>
      <c r="D83" s="2" t="str">
        <f aca="false">Calendar!F146</f>
        <v>E145</v>
      </c>
      <c r="E83" s="3" t="n">
        <f aca="false">Calendar!B146</f>
        <v>46386</v>
      </c>
      <c r="F83" s="2" t="s">
        <v>103</v>
      </c>
      <c r="G83" s="2" t="s">
        <v>62</v>
      </c>
      <c r="H83" s="2" t="s">
        <v>1074</v>
      </c>
    </row>
    <row r="84" customFormat="false" ht="15" hidden="false" customHeight="false" outlineLevel="0" collapsed="false">
      <c r="A84" s="2" t="s">
        <v>893</v>
      </c>
      <c r="B84" s="2" t="s">
        <v>894</v>
      </c>
      <c r="C84" s="2" t="s">
        <v>224</v>
      </c>
      <c r="D84" s="2" t="str">
        <f aca="false">Calendar!F147</f>
        <v>E146</v>
      </c>
      <c r="E84" s="3" t="n">
        <f aca="false">Calendar!B147</f>
        <v>46386</v>
      </c>
      <c r="F84" s="2" t="s">
        <v>379</v>
      </c>
      <c r="G84" s="2" t="s">
        <v>62</v>
      </c>
      <c r="H84" s="2" t="s">
        <v>1074</v>
      </c>
    </row>
    <row r="85" customFormat="false" ht="15" hidden="false" customHeight="false" outlineLevel="0" collapsed="false">
      <c r="A85" s="2" t="s">
        <v>1081</v>
      </c>
      <c r="B85" s="2" t="s">
        <v>1082</v>
      </c>
      <c r="C85" s="2" t="s">
        <v>183</v>
      </c>
      <c r="D85" s="2" t="str">
        <f aca="false">Calendar!F150</f>
        <v>E149</v>
      </c>
      <c r="E85" s="3" t="n">
        <f aca="false">Calendar!B150</f>
        <v>46388</v>
      </c>
      <c r="F85" s="2" t="s">
        <v>103</v>
      </c>
      <c r="G85" s="2" t="s">
        <v>62</v>
      </c>
      <c r="H85" s="2" t="s">
        <v>1074</v>
      </c>
    </row>
    <row r="86" customFormat="false" ht="15" hidden="false" customHeight="false" outlineLevel="0" collapsed="false">
      <c r="A86" s="2" t="s">
        <v>917</v>
      </c>
      <c r="B86" s="2" t="s">
        <v>918</v>
      </c>
      <c r="C86" s="2" t="s">
        <v>224</v>
      </c>
      <c r="D86" s="2" t="str">
        <f aca="false">Calendar!F153</f>
        <v>E152</v>
      </c>
      <c r="E86" s="3" t="n">
        <f aca="false">Calendar!B153</f>
        <v>46389</v>
      </c>
      <c r="F86" s="2" t="s">
        <v>921</v>
      </c>
      <c r="G86" s="2" t="s">
        <v>62</v>
      </c>
      <c r="H86" s="2" t="s">
        <v>1076</v>
      </c>
    </row>
    <row r="87" customFormat="false" ht="15" hidden="false" customHeight="false" outlineLevel="0" collapsed="false">
      <c r="A87" s="2" t="s">
        <v>936</v>
      </c>
      <c r="B87" s="2" t="s">
        <v>937</v>
      </c>
      <c r="C87" s="2" t="s">
        <v>183</v>
      </c>
      <c r="D87" s="2" t="str">
        <f aca="false">Calendar!F157</f>
        <v>E156</v>
      </c>
      <c r="E87" s="3" t="n">
        <f aca="false">Calendar!B157</f>
        <v>46391</v>
      </c>
      <c r="F87" s="2" t="s">
        <v>121</v>
      </c>
      <c r="G87" s="2" t="s">
        <v>62</v>
      </c>
      <c r="H87" s="2" t="s">
        <v>1076</v>
      </c>
    </row>
    <row r="88" customFormat="false" ht="15" hidden="false" customHeight="false" outlineLevel="0" collapsed="false">
      <c r="A88" s="2" t="s">
        <v>943</v>
      </c>
      <c r="B88" s="2" t="s">
        <v>944</v>
      </c>
      <c r="C88" s="2" t="s">
        <v>224</v>
      </c>
      <c r="D88" s="2" t="str">
        <f aca="false">Calendar!F159</f>
        <v>E158</v>
      </c>
      <c r="E88" s="3" t="n">
        <f aca="false">Calendar!B159</f>
        <v>46392</v>
      </c>
      <c r="F88" s="2" t="s">
        <v>278</v>
      </c>
      <c r="G88" s="2" t="s">
        <v>62</v>
      </c>
      <c r="H88" s="2" t="s">
        <v>1074</v>
      </c>
    </row>
    <row r="89" customFormat="false" ht="15" hidden="false" customHeight="false" outlineLevel="0" collapsed="false">
      <c r="A89" s="2" t="s">
        <v>955</v>
      </c>
      <c r="B89" s="2" t="s">
        <v>956</v>
      </c>
      <c r="C89" s="2" t="s">
        <v>224</v>
      </c>
      <c r="D89" s="2" t="str">
        <f aca="false">Calendar!F161</f>
        <v>E160</v>
      </c>
      <c r="E89" s="3" t="n">
        <f aca="false">Calendar!B161</f>
        <v>46393</v>
      </c>
      <c r="F89" s="2" t="s">
        <v>959</v>
      </c>
      <c r="G89" s="2" t="s">
        <v>31</v>
      </c>
      <c r="H89" s="13" t="s">
        <v>1077</v>
      </c>
    </row>
    <row r="90" customFormat="false" ht="15" hidden="false" customHeight="false" outlineLevel="0" collapsed="false">
      <c r="A90" s="2" t="s">
        <v>962</v>
      </c>
      <c r="B90" s="2" t="s">
        <v>963</v>
      </c>
      <c r="C90" s="2" t="s">
        <v>126</v>
      </c>
      <c r="D90" s="2" t="str">
        <f aca="false">Calendar!F162</f>
        <v>E161</v>
      </c>
      <c r="E90" s="3" t="n">
        <f aca="false">Calendar!B162</f>
        <v>46394</v>
      </c>
      <c r="F90" s="2" t="s">
        <v>278</v>
      </c>
      <c r="G90" s="2" t="s">
        <v>62</v>
      </c>
      <c r="H90" s="2" t="s">
        <v>1074</v>
      </c>
    </row>
    <row r="91" customFormat="false" ht="15" hidden="false" customHeight="false" outlineLevel="0" collapsed="false">
      <c r="A91" s="2" t="s">
        <v>985</v>
      </c>
      <c r="B91" s="2" t="s">
        <v>986</v>
      </c>
      <c r="C91" s="2" t="s">
        <v>183</v>
      </c>
      <c r="D91" s="2" t="str">
        <f aca="false">Calendar!F167</f>
        <v>E166</v>
      </c>
      <c r="E91" s="3" t="n">
        <f aca="false">Calendar!B167</f>
        <v>46396</v>
      </c>
      <c r="F91" s="2" t="s">
        <v>121</v>
      </c>
      <c r="G91" s="2" t="s">
        <v>62</v>
      </c>
      <c r="H91" s="2" t="s">
        <v>1076</v>
      </c>
    </row>
    <row r="92" customFormat="false" ht="15" hidden="false" customHeight="false" outlineLevel="0" collapsed="false">
      <c r="A92" s="2" t="s">
        <v>996</v>
      </c>
      <c r="B92" s="2" t="s">
        <v>997</v>
      </c>
      <c r="C92" s="2" t="s">
        <v>58</v>
      </c>
      <c r="D92" s="2" t="str">
        <f aca="false">Calendar!F170</f>
        <v>E169</v>
      </c>
      <c r="E92" s="3" t="n">
        <f aca="false">Calendar!B170</f>
        <v>46398</v>
      </c>
      <c r="F92" s="2" t="s">
        <v>271</v>
      </c>
      <c r="G92" s="2" t="s">
        <v>62</v>
      </c>
      <c r="H92" s="2" t="s">
        <v>1076</v>
      </c>
    </row>
    <row r="93" customFormat="false" ht="23.85" hidden="false" customHeight="false" outlineLevel="0" collapsed="false">
      <c r="A93" s="2" t="s">
        <v>1002</v>
      </c>
      <c r="B93" s="2" t="s">
        <v>1003</v>
      </c>
      <c r="C93" s="2" t="s">
        <v>126</v>
      </c>
      <c r="D93" s="2" t="str">
        <f aca="false">Calendar!F171</f>
        <v>E170</v>
      </c>
      <c r="E93" s="3" t="n">
        <f aca="false">Calendar!B171</f>
        <v>46398</v>
      </c>
      <c r="F93" s="2" t="s">
        <v>178</v>
      </c>
      <c r="G93" s="2" t="s">
        <v>44</v>
      </c>
      <c r="H93" s="2" t="s">
        <v>1076</v>
      </c>
    </row>
    <row r="94" customFormat="false" ht="15" hidden="false" customHeight="false" outlineLevel="0" collapsed="false">
      <c r="A94" s="2" t="s">
        <v>1083</v>
      </c>
      <c r="B94" s="2" t="s">
        <v>1084</v>
      </c>
      <c r="C94" s="2" t="s">
        <v>254</v>
      </c>
      <c r="D94" s="2" t="str">
        <f aca="false">Calendar!F174</f>
        <v>E173</v>
      </c>
      <c r="E94" s="3" t="n">
        <f aca="false">Calendar!B174</f>
        <v>46400</v>
      </c>
      <c r="F94" s="2" t="s">
        <v>121</v>
      </c>
      <c r="G94" s="2" t="s">
        <v>62</v>
      </c>
      <c r="H94" s="2" t="s">
        <v>1076</v>
      </c>
    </row>
    <row r="95" customFormat="false" ht="15" hidden="false" customHeight="false" outlineLevel="0" collapsed="false">
      <c r="A95" s="2" t="s">
        <v>1019</v>
      </c>
      <c r="B95" s="2" t="s">
        <v>1020</v>
      </c>
      <c r="C95" s="2" t="s">
        <v>224</v>
      </c>
      <c r="D95" s="2" t="str">
        <f aca="false">Calendar!F175</f>
        <v>E174</v>
      </c>
      <c r="E95" s="3" t="n">
        <f aca="false">Calendar!B175</f>
        <v>46400</v>
      </c>
      <c r="F95" s="2" t="s">
        <v>1023</v>
      </c>
      <c r="G95" s="2" t="s">
        <v>31</v>
      </c>
      <c r="H95" s="13" t="s">
        <v>1078</v>
      </c>
    </row>
    <row r="96" customFormat="false" ht="15" hidden="false" customHeight="false" outlineLevel="0" collapsed="false">
      <c r="A96" s="2" t="s">
        <v>1041</v>
      </c>
      <c r="B96" s="2" t="s">
        <v>1042</v>
      </c>
      <c r="C96" s="2" t="s">
        <v>126</v>
      </c>
      <c r="D96" s="2" t="str">
        <f aca="false">Calendar!F181</f>
        <v>E180</v>
      </c>
      <c r="E96" s="3" t="n">
        <f aca="false">Calendar!B181</f>
        <v>46403</v>
      </c>
      <c r="F96" s="2" t="s">
        <v>121</v>
      </c>
      <c r="G96" s="2" t="s">
        <v>62</v>
      </c>
      <c r="H96" s="2" t="s">
        <v>1076</v>
      </c>
    </row>
  </sheetData>
  <hyperlinks>
    <hyperlink ref="H2" r:id="rId1" display="https://www.tripo3d.ai/affiliate"/>
    <hyperlink ref="H8" r:id="rId2" display="https://zplatform.ai/best-ai-tools/best-ai-affiliate-programs/"/>
    <hyperlink ref="H23" r:id="rId3" display="https://zplatform.ai/best-ai-tools/best-ai-affiliate-programs/"/>
    <hyperlink ref="H26" r:id="rId4" display="https://zplatform.ai/best-ai-tools/best-ai-affiliate-programs/"/>
    <hyperlink ref="H28" r:id="rId5" display="https://affiliatejob.org/blog/highest-paying-ai-tool-affiliate-programs-2026"/>
    <hyperlink ref="H56" r:id="rId6" display="https://affiliatejob.org/blog/highest-paying-ai-tool-affiliate-programs-2026"/>
    <hyperlink ref="H66" r:id="rId7" display="https://www.layer3labs.io/guides/best-ai-affiliate-programs"/>
    <hyperlink ref="H71" r:id="rId8" display="https://www.layer3labs.io/guides/best-ai-affiliate-programs"/>
    <hyperlink ref="H73" r:id="rId9" display="https://affiliatejob.org/blog/highest-paying-ai-tool-affiliate-programs-2026"/>
    <hyperlink ref="H77" r:id="rId10" display="https://www.layer3labs.io/guides/best-ai-affiliate-programs"/>
    <hyperlink ref="H79" r:id="rId11" display="https://affiliatejob.org/blog/highest-paying-ai-tool-affiliate-programs-2026"/>
    <hyperlink ref="H81" r:id="rId12" display="https://www.layer3labs.io/guides/best-ai-affiliate-programs"/>
    <hyperlink ref="H89" r:id="rId13" display="https://affiliatejob.org/blog/highest-paying-ai-tool-affiliate-programs-2026"/>
    <hyperlink ref="H95" r:id="rId14" display="https://www.layer3labs.io/guides/best-ai-affiliate-program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" t="s">
        <v>7</v>
      </c>
      <c r="B1" s="1" t="s">
        <v>9</v>
      </c>
      <c r="C1" s="1" t="s">
        <v>1085</v>
      </c>
      <c r="D1" s="1" t="s">
        <v>8</v>
      </c>
      <c r="E1" s="1" t="s">
        <v>1086</v>
      </c>
      <c r="F1" s="1" t="s">
        <v>1087</v>
      </c>
    </row>
    <row r="2" customFormat="false" ht="15" hidden="false" customHeight="false" outlineLevel="0" collapsed="false">
      <c r="A2" s="12" t="s">
        <v>23</v>
      </c>
      <c r="B2" s="12" t="s">
        <v>1088</v>
      </c>
      <c r="C2" s="12" t="s">
        <v>1089</v>
      </c>
      <c r="D2" s="12" t="s">
        <v>24</v>
      </c>
      <c r="E2" s="12" t="s">
        <v>1090</v>
      </c>
      <c r="F2" s="12" t="n">
        <f aca="false">COUNTIF(Calendar!$H$2:$H$181,A2)</f>
        <v>52</v>
      </c>
    </row>
    <row r="3" customFormat="false" ht="15" hidden="false" customHeight="false" outlineLevel="0" collapsed="false">
      <c r="A3" s="12" t="s">
        <v>38</v>
      </c>
      <c r="B3" s="12" t="s">
        <v>1091</v>
      </c>
      <c r="C3" s="12" t="s">
        <v>1092</v>
      </c>
      <c r="D3" s="12" t="s">
        <v>24</v>
      </c>
      <c r="E3" s="12" t="s">
        <v>1093</v>
      </c>
      <c r="F3" s="12" t="n">
        <f aca="false">COUNTIF(Calendar!$H$2:$H$181,A3)</f>
        <v>26</v>
      </c>
    </row>
    <row r="4" customFormat="false" ht="15" hidden="false" customHeight="false" outlineLevel="0" collapsed="false">
      <c r="A4" s="12" t="s">
        <v>48</v>
      </c>
      <c r="B4" s="12" t="s">
        <v>1094</v>
      </c>
      <c r="C4" s="12" t="s">
        <v>1095</v>
      </c>
      <c r="D4" s="12" t="s">
        <v>1096</v>
      </c>
      <c r="E4" s="12" t="s">
        <v>1097</v>
      </c>
      <c r="F4" s="12" t="n">
        <f aca="false">COUNTIF(Calendar!$H$2:$H$181,A4)</f>
        <v>32</v>
      </c>
    </row>
    <row r="5" customFormat="false" ht="15" hidden="false" customHeight="false" outlineLevel="0" collapsed="false">
      <c r="A5" s="12" t="s">
        <v>67</v>
      </c>
      <c r="B5" s="12" t="s">
        <v>1098</v>
      </c>
      <c r="C5" s="12" t="s">
        <v>1099</v>
      </c>
      <c r="D5" s="12" t="s">
        <v>24</v>
      </c>
      <c r="E5" s="12" t="s">
        <v>1100</v>
      </c>
      <c r="F5" s="12" t="n">
        <f aca="false">COUNTIF(Calendar!$H$2:$H$181,A5)</f>
        <v>13</v>
      </c>
    </row>
    <row r="6" customFormat="false" ht="15" hidden="false" customHeight="false" outlineLevel="0" collapsed="false">
      <c r="A6" s="12" t="s">
        <v>78</v>
      </c>
      <c r="B6" s="12" t="s">
        <v>1101</v>
      </c>
      <c r="C6" s="12" t="s">
        <v>1102</v>
      </c>
      <c r="D6" s="12" t="s">
        <v>79</v>
      </c>
      <c r="E6" s="12" t="s">
        <v>1103</v>
      </c>
      <c r="F6" s="12" t="n">
        <f aca="false">COUNTIF(Calendar!$H$2:$H$181,A6)</f>
        <v>13</v>
      </c>
    </row>
    <row r="7" customFormat="false" ht="15" hidden="false" customHeight="false" outlineLevel="0" collapsed="false">
      <c r="A7" s="12" t="s">
        <v>98</v>
      </c>
      <c r="B7" s="12" t="s">
        <v>1104</v>
      </c>
      <c r="C7" s="12" t="s">
        <v>1105</v>
      </c>
      <c r="D7" s="12" t="s">
        <v>24</v>
      </c>
      <c r="E7" s="12" t="s">
        <v>1106</v>
      </c>
      <c r="F7" s="12" t="n">
        <f aca="false">COUNTIF(Calendar!$H$2:$H$181,A7)</f>
        <v>13</v>
      </c>
    </row>
    <row r="8" customFormat="false" ht="15" hidden="false" customHeight="false" outlineLevel="0" collapsed="false">
      <c r="A8" s="12" t="s">
        <v>108</v>
      </c>
      <c r="B8" s="12" t="s">
        <v>1107</v>
      </c>
      <c r="C8" s="12" t="s">
        <v>1108</v>
      </c>
      <c r="D8" s="12" t="s">
        <v>24</v>
      </c>
      <c r="E8" s="12" t="s">
        <v>1109</v>
      </c>
      <c r="F8" s="12" t="n">
        <f aca="false">COUNTIF(Calendar!$H$2:$H$181,A8)</f>
        <v>13</v>
      </c>
    </row>
    <row r="9" customFormat="false" ht="23.85" hidden="false" customHeight="false" outlineLevel="0" collapsed="false">
      <c r="A9" s="12" t="s">
        <v>140</v>
      </c>
      <c r="B9" s="12" t="s">
        <v>1110</v>
      </c>
      <c r="C9" s="12" t="s">
        <v>1111</v>
      </c>
      <c r="D9" s="12" t="s">
        <v>141</v>
      </c>
      <c r="E9" s="12" t="s">
        <v>1112</v>
      </c>
      <c r="F9" s="12" t="n">
        <f aca="false">COUNTIF(Calendar!$H$2:$H$181,A9)</f>
        <v>12</v>
      </c>
    </row>
    <row r="10" customFormat="false" ht="15" hidden="false" customHeight="false" outlineLevel="0" collapsed="false">
      <c r="A10" s="12" t="s">
        <v>152</v>
      </c>
      <c r="B10" s="12" t="s">
        <v>1113</v>
      </c>
      <c r="C10" s="12" t="s">
        <v>1114</v>
      </c>
      <c r="D10" s="12" t="s">
        <v>79</v>
      </c>
      <c r="E10" s="12" t="s">
        <v>1115</v>
      </c>
      <c r="F10" s="12" t="n">
        <f aca="false">COUNTIF(Calendar!$H$2:$H$181,A10)</f>
        <v>6</v>
      </c>
    </row>
    <row r="11" customFormat="false" ht="15" hidden="false" customHeight="false" outlineLevel="0" collapsed="false">
      <c r="A11" s="10" t="s">
        <v>1116</v>
      </c>
      <c r="F11" s="10" t="n">
        <f aca="false">SUM(F2:F10)</f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3" min="12" style="0" width="12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7" min="17" style="0" width="40"/>
  </cols>
  <sheetData>
    <row r="1" customFormat="false" ht="31.5" hidden="false" customHeight="true" outlineLevel="0" collapsed="false">
      <c r="A1" s="1" t="s">
        <v>1117</v>
      </c>
      <c r="B1" s="1" t="s">
        <v>1118</v>
      </c>
      <c r="C1" s="1" t="s">
        <v>1119</v>
      </c>
      <c r="D1" s="1" t="s">
        <v>1120</v>
      </c>
      <c r="E1" s="1" t="s">
        <v>1121</v>
      </c>
      <c r="F1" s="1" t="s">
        <v>1122</v>
      </c>
      <c r="G1" s="1" t="s">
        <v>1123</v>
      </c>
      <c r="H1" s="1" t="s">
        <v>1124</v>
      </c>
      <c r="I1" s="1" t="s">
        <v>1125</v>
      </c>
      <c r="J1" s="1" t="s">
        <v>1126</v>
      </c>
      <c r="K1" s="1" t="s">
        <v>1127</v>
      </c>
      <c r="L1" s="1" t="s">
        <v>1128</v>
      </c>
      <c r="M1" s="1" t="s">
        <v>1129</v>
      </c>
      <c r="N1" s="1" t="s">
        <v>1130</v>
      </c>
      <c r="O1" s="1" t="s">
        <v>1131</v>
      </c>
      <c r="P1" s="1" t="s">
        <v>1132</v>
      </c>
      <c r="Q1" s="1" t="s">
        <v>1133</v>
      </c>
    </row>
    <row r="2" customFormat="false" ht="15" hidden="false" customHeight="false" outlineLevel="0" collapsed="false">
      <c r="A2" s="6" t="n">
        <v>1</v>
      </c>
      <c r="B2" s="14" t="n">
        <f aca="false">Settings!$B$3+(A2-1)*7</f>
        <v>46314</v>
      </c>
      <c r="C2" s="8"/>
      <c r="D2" s="8"/>
      <c r="E2" s="15"/>
      <c r="F2" s="8"/>
      <c r="G2" s="8"/>
      <c r="H2" s="8"/>
      <c r="I2" s="8"/>
      <c r="J2" s="8"/>
      <c r="K2" s="16"/>
      <c r="L2" s="17" t="n">
        <f aca="false">IF(C2&gt;0,G2/C2*1000,0)</f>
        <v>0</v>
      </c>
      <c r="M2" s="18" t="n">
        <f aca="false">IF(G2&gt;0,H2/G2,0)</f>
        <v>0</v>
      </c>
      <c r="N2" s="18" t="n">
        <f aca="false">IF(H2&gt;0,I2/H2,0)</f>
        <v>0</v>
      </c>
      <c r="O2" s="18" t="n">
        <f aca="false">IF(I2&gt;0,J2/I2,0)</f>
        <v>0</v>
      </c>
      <c r="P2" s="19"/>
      <c r="Q2" s="19"/>
    </row>
    <row r="3" customFormat="false" ht="15" hidden="false" customHeight="false" outlineLevel="0" collapsed="false">
      <c r="A3" s="6" t="n">
        <v>2</v>
      </c>
      <c r="B3" s="14" t="n">
        <f aca="false">Settings!$B$3+(A3-1)*7</f>
        <v>46321</v>
      </c>
      <c r="C3" s="8"/>
      <c r="D3" s="8"/>
      <c r="E3" s="15"/>
      <c r="F3" s="8"/>
      <c r="G3" s="8"/>
      <c r="H3" s="8"/>
      <c r="I3" s="8"/>
      <c r="J3" s="8"/>
      <c r="K3" s="16"/>
      <c r="L3" s="17" t="n">
        <f aca="false">IF(C3&gt;0,G3/C3*1000,0)</f>
        <v>0</v>
      </c>
      <c r="M3" s="18" t="n">
        <f aca="false">IF(G3&gt;0,H3/G3,0)</f>
        <v>0</v>
      </c>
      <c r="N3" s="18" t="n">
        <f aca="false">IF(H3&gt;0,I3/H3,0)</f>
        <v>0</v>
      </c>
      <c r="O3" s="18" t="n">
        <f aca="false">IF(I3&gt;0,J3/I3,0)</f>
        <v>0</v>
      </c>
      <c r="P3" s="19"/>
      <c r="Q3" s="19"/>
    </row>
    <row r="4" customFormat="false" ht="15" hidden="false" customHeight="false" outlineLevel="0" collapsed="false">
      <c r="A4" s="6" t="n">
        <v>3</v>
      </c>
      <c r="B4" s="14" t="n">
        <f aca="false">Settings!$B$3+(A4-1)*7</f>
        <v>46328</v>
      </c>
      <c r="C4" s="8"/>
      <c r="D4" s="8"/>
      <c r="E4" s="15"/>
      <c r="F4" s="8"/>
      <c r="G4" s="8"/>
      <c r="H4" s="8"/>
      <c r="I4" s="8"/>
      <c r="J4" s="8"/>
      <c r="K4" s="16"/>
      <c r="L4" s="17" t="n">
        <f aca="false">IF(C4&gt;0,G4/C4*1000,0)</f>
        <v>0</v>
      </c>
      <c r="M4" s="18" t="n">
        <f aca="false">IF(G4&gt;0,H4/G4,0)</f>
        <v>0</v>
      </c>
      <c r="N4" s="18" t="n">
        <f aca="false">IF(H4&gt;0,I4/H4,0)</f>
        <v>0</v>
      </c>
      <c r="O4" s="18" t="n">
        <f aca="false">IF(I4&gt;0,J4/I4,0)</f>
        <v>0</v>
      </c>
      <c r="P4" s="19"/>
      <c r="Q4" s="19"/>
    </row>
    <row r="5" customFormat="false" ht="15" hidden="false" customHeight="false" outlineLevel="0" collapsed="false">
      <c r="A5" s="6" t="n">
        <v>4</v>
      </c>
      <c r="B5" s="14" t="n">
        <f aca="false">Settings!$B$3+(A5-1)*7</f>
        <v>46335</v>
      </c>
      <c r="C5" s="8"/>
      <c r="D5" s="8"/>
      <c r="E5" s="15"/>
      <c r="F5" s="8"/>
      <c r="G5" s="8"/>
      <c r="H5" s="8"/>
      <c r="I5" s="8"/>
      <c r="J5" s="8"/>
      <c r="K5" s="16"/>
      <c r="L5" s="17" t="n">
        <f aca="false">IF(C5&gt;0,G5/C5*1000,0)</f>
        <v>0</v>
      </c>
      <c r="M5" s="18" t="n">
        <f aca="false">IF(G5&gt;0,H5/G5,0)</f>
        <v>0</v>
      </c>
      <c r="N5" s="18" t="n">
        <f aca="false">IF(H5&gt;0,I5/H5,0)</f>
        <v>0</v>
      </c>
      <c r="O5" s="18" t="n">
        <f aca="false">IF(I5&gt;0,J5/I5,0)</f>
        <v>0</v>
      </c>
      <c r="P5" s="19"/>
      <c r="Q5" s="19"/>
    </row>
    <row r="6" customFormat="false" ht="15" hidden="false" customHeight="false" outlineLevel="0" collapsed="false">
      <c r="A6" s="6" t="n">
        <v>5</v>
      </c>
      <c r="B6" s="14" t="n">
        <f aca="false">Settings!$B$3+(A6-1)*7</f>
        <v>46342</v>
      </c>
      <c r="C6" s="8"/>
      <c r="D6" s="8"/>
      <c r="E6" s="15"/>
      <c r="F6" s="8"/>
      <c r="G6" s="8"/>
      <c r="H6" s="8"/>
      <c r="I6" s="8"/>
      <c r="J6" s="8"/>
      <c r="K6" s="16"/>
      <c r="L6" s="17" t="n">
        <f aca="false">IF(C6&gt;0,G6/C6*1000,0)</f>
        <v>0</v>
      </c>
      <c r="M6" s="18" t="n">
        <f aca="false">IF(G6&gt;0,H6/G6,0)</f>
        <v>0</v>
      </c>
      <c r="N6" s="18" t="n">
        <f aca="false">IF(H6&gt;0,I6/H6,0)</f>
        <v>0</v>
      </c>
      <c r="O6" s="18" t="n">
        <f aca="false">IF(I6&gt;0,J6/I6,0)</f>
        <v>0</v>
      </c>
      <c r="P6" s="19"/>
      <c r="Q6" s="19"/>
    </row>
    <row r="7" customFormat="false" ht="15" hidden="false" customHeight="false" outlineLevel="0" collapsed="false">
      <c r="A7" s="6" t="n">
        <v>6</v>
      </c>
      <c r="B7" s="14" t="n">
        <f aca="false">Settings!$B$3+(A7-1)*7</f>
        <v>46349</v>
      </c>
      <c r="C7" s="8"/>
      <c r="D7" s="8"/>
      <c r="E7" s="15"/>
      <c r="F7" s="8"/>
      <c r="G7" s="8"/>
      <c r="H7" s="8"/>
      <c r="I7" s="8"/>
      <c r="J7" s="8"/>
      <c r="K7" s="16"/>
      <c r="L7" s="17" t="n">
        <f aca="false">IF(C7&gt;0,G7/C7*1000,0)</f>
        <v>0</v>
      </c>
      <c r="M7" s="18" t="n">
        <f aca="false">IF(G7&gt;0,H7/G7,0)</f>
        <v>0</v>
      </c>
      <c r="N7" s="18" t="n">
        <f aca="false">IF(H7&gt;0,I7/H7,0)</f>
        <v>0</v>
      </c>
      <c r="O7" s="18" t="n">
        <f aca="false">IF(I7&gt;0,J7/I7,0)</f>
        <v>0</v>
      </c>
      <c r="P7" s="19"/>
      <c r="Q7" s="19"/>
    </row>
    <row r="8" customFormat="false" ht="15" hidden="false" customHeight="false" outlineLevel="0" collapsed="false">
      <c r="A8" s="6" t="n">
        <v>7</v>
      </c>
      <c r="B8" s="14" t="n">
        <f aca="false">Settings!$B$3+(A8-1)*7</f>
        <v>46356</v>
      </c>
      <c r="C8" s="8"/>
      <c r="D8" s="8"/>
      <c r="E8" s="15"/>
      <c r="F8" s="8"/>
      <c r="G8" s="8"/>
      <c r="H8" s="8"/>
      <c r="I8" s="8"/>
      <c r="J8" s="8"/>
      <c r="K8" s="16"/>
      <c r="L8" s="17" t="n">
        <f aca="false">IF(C8&gt;0,G8/C8*1000,0)</f>
        <v>0</v>
      </c>
      <c r="M8" s="18" t="n">
        <f aca="false">IF(G8&gt;0,H8/G8,0)</f>
        <v>0</v>
      </c>
      <c r="N8" s="18" t="n">
        <f aca="false">IF(H8&gt;0,I8/H8,0)</f>
        <v>0</v>
      </c>
      <c r="O8" s="18" t="n">
        <f aca="false">IF(I8&gt;0,J8/I8,0)</f>
        <v>0</v>
      </c>
      <c r="P8" s="19"/>
      <c r="Q8" s="19"/>
    </row>
    <row r="9" customFormat="false" ht="15" hidden="false" customHeight="false" outlineLevel="0" collapsed="false">
      <c r="A9" s="6" t="n">
        <v>8</v>
      </c>
      <c r="B9" s="14" t="n">
        <f aca="false">Settings!$B$3+(A9-1)*7</f>
        <v>46363</v>
      </c>
      <c r="C9" s="8"/>
      <c r="D9" s="8"/>
      <c r="E9" s="15"/>
      <c r="F9" s="8"/>
      <c r="G9" s="8"/>
      <c r="H9" s="8"/>
      <c r="I9" s="8"/>
      <c r="J9" s="8"/>
      <c r="K9" s="16"/>
      <c r="L9" s="17" t="n">
        <f aca="false">IF(C9&gt;0,G9/C9*1000,0)</f>
        <v>0</v>
      </c>
      <c r="M9" s="18" t="n">
        <f aca="false">IF(G9&gt;0,H9/G9,0)</f>
        <v>0</v>
      </c>
      <c r="N9" s="18" t="n">
        <f aca="false">IF(H9&gt;0,I9/H9,0)</f>
        <v>0</v>
      </c>
      <c r="O9" s="18" t="n">
        <f aca="false">IF(I9&gt;0,J9/I9,0)</f>
        <v>0</v>
      </c>
      <c r="P9" s="19"/>
      <c r="Q9" s="19"/>
    </row>
    <row r="10" customFormat="false" ht="15" hidden="false" customHeight="false" outlineLevel="0" collapsed="false">
      <c r="A10" s="6" t="n">
        <v>9</v>
      </c>
      <c r="B10" s="14" t="n">
        <f aca="false">Settings!$B$3+(A10-1)*7</f>
        <v>46370</v>
      </c>
      <c r="C10" s="8"/>
      <c r="D10" s="8"/>
      <c r="E10" s="15"/>
      <c r="F10" s="8"/>
      <c r="G10" s="8"/>
      <c r="H10" s="8"/>
      <c r="I10" s="8"/>
      <c r="J10" s="8"/>
      <c r="K10" s="16"/>
      <c r="L10" s="17" t="n">
        <f aca="false">IF(C10&gt;0,G10/C10*1000,0)</f>
        <v>0</v>
      </c>
      <c r="M10" s="18" t="n">
        <f aca="false">IF(G10&gt;0,H10/G10,0)</f>
        <v>0</v>
      </c>
      <c r="N10" s="18" t="n">
        <f aca="false">IF(H10&gt;0,I10/H10,0)</f>
        <v>0</v>
      </c>
      <c r="O10" s="18" t="n">
        <f aca="false">IF(I10&gt;0,J10/I10,0)</f>
        <v>0</v>
      </c>
      <c r="P10" s="19"/>
      <c r="Q10" s="19"/>
    </row>
    <row r="11" customFormat="false" ht="15" hidden="false" customHeight="false" outlineLevel="0" collapsed="false">
      <c r="A11" s="6" t="n">
        <v>10</v>
      </c>
      <c r="B11" s="14" t="n">
        <f aca="false">Settings!$B$3+(A11-1)*7</f>
        <v>46377</v>
      </c>
      <c r="C11" s="8"/>
      <c r="D11" s="8"/>
      <c r="E11" s="15"/>
      <c r="F11" s="8"/>
      <c r="G11" s="8"/>
      <c r="H11" s="8"/>
      <c r="I11" s="8"/>
      <c r="J11" s="8"/>
      <c r="K11" s="16"/>
      <c r="L11" s="17" t="n">
        <f aca="false">IF(C11&gt;0,G11/C11*1000,0)</f>
        <v>0</v>
      </c>
      <c r="M11" s="18" t="n">
        <f aca="false">IF(G11&gt;0,H11/G11,0)</f>
        <v>0</v>
      </c>
      <c r="N11" s="18" t="n">
        <f aca="false">IF(H11&gt;0,I11/H11,0)</f>
        <v>0</v>
      </c>
      <c r="O11" s="18" t="n">
        <f aca="false">IF(I11&gt;0,J11/I11,0)</f>
        <v>0</v>
      </c>
      <c r="P11" s="19"/>
      <c r="Q11" s="19"/>
    </row>
    <row r="12" customFormat="false" ht="15" hidden="false" customHeight="false" outlineLevel="0" collapsed="false">
      <c r="A12" s="6" t="n">
        <v>11</v>
      </c>
      <c r="B12" s="14" t="n">
        <f aca="false">Settings!$B$3+(A12-1)*7</f>
        <v>46384</v>
      </c>
      <c r="C12" s="8"/>
      <c r="D12" s="8"/>
      <c r="E12" s="15"/>
      <c r="F12" s="8"/>
      <c r="G12" s="8"/>
      <c r="H12" s="8"/>
      <c r="I12" s="8"/>
      <c r="J12" s="8"/>
      <c r="K12" s="16"/>
      <c r="L12" s="17" t="n">
        <f aca="false">IF(C12&gt;0,G12/C12*1000,0)</f>
        <v>0</v>
      </c>
      <c r="M12" s="18" t="n">
        <f aca="false">IF(G12&gt;0,H12/G12,0)</f>
        <v>0</v>
      </c>
      <c r="N12" s="18" t="n">
        <f aca="false">IF(H12&gt;0,I12/H12,0)</f>
        <v>0</v>
      </c>
      <c r="O12" s="18" t="n">
        <f aca="false">IF(I12&gt;0,J12/I12,0)</f>
        <v>0</v>
      </c>
      <c r="P12" s="19"/>
      <c r="Q12" s="19"/>
    </row>
    <row r="13" customFormat="false" ht="15" hidden="false" customHeight="false" outlineLevel="0" collapsed="false">
      <c r="A13" s="6" t="n">
        <v>12</v>
      </c>
      <c r="B13" s="14" t="n">
        <f aca="false">Settings!$B$3+(A13-1)*7</f>
        <v>46391</v>
      </c>
      <c r="C13" s="8"/>
      <c r="D13" s="8"/>
      <c r="E13" s="15"/>
      <c r="F13" s="8"/>
      <c r="G13" s="8"/>
      <c r="H13" s="8"/>
      <c r="I13" s="8"/>
      <c r="J13" s="8"/>
      <c r="K13" s="16"/>
      <c r="L13" s="17" t="n">
        <f aca="false">IF(C13&gt;0,G13/C13*1000,0)</f>
        <v>0</v>
      </c>
      <c r="M13" s="18" t="n">
        <f aca="false">IF(G13&gt;0,H13/G13,0)</f>
        <v>0</v>
      </c>
      <c r="N13" s="18" t="n">
        <f aca="false">IF(H13&gt;0,I13/H13,0)</f>
        <v>0</v>
      </c>
      <c r="O13" s="18" t="n">
        <f aca="false">IF(I13&gt;0,J13/I13,0)</f>
        <v>0</v>
      </c>
      <c r="P13" s="19"/>
      <c r="Q13" s="19"/>
    </row>
    <row r="14" customFormat="false" ht="15" hidden="false" customHeight="false" outlineLevel="0" collapsed="false">
      <c r="A14" s="6" t="n">
        <v>13</v>
      </c>
      <c r="B14" s="14" t="n">
        <f aca="false">Settings!$B$3+(A14-1)*7</f>
        <v>46398</v>
      </c>
      <c r="C14" s="8"/>
      <c r="D14" s="8"/>
      <c r="E14" s="15"/>
      <c r="F14" s="8"/>
      <c r="G14" s="8"/>
      <c r="H14" s="8"/>
      <c r="I14" s="8"/>
      <c r="J14" s="8"/>
      <c r="K14" s="16"/>
      <c r="L14" s="17" t="n">
        <f aca="false">IF(C14&gt;0,G14/C14*1000,0)</f>
        <v>0</v>
      </c>
      <c r="M14" s="18" t="n">
        <f aca="false">IF(G14&gt;0,H14/G14,0)</f>
        <v>0</v>
      </c>
      <c r="N14" s="18" t="n">
        <f aca="false">IF(H14&gt;0,I14/H14,0)</f>
        <v>0</v>
      </c>
      <c r="O14" s="18" t="n">
        <f aca="false">IF(I14&gt;0,J14/I14,0)</f>
        <v>0</v>
      </c>
      <c r="P14" s="19"/>
      <c r="Q14" s="19"/>
    </row>
    <row r="15" customFormat="false" ht="15" hidden="false" customHeight="false" outlineLevel="0" collapsed="false">
      <c r="A15" s="10" t="s">
        <v>1116</v>
      </c>
      <c r="C15" s="10" t="n">
        <f aca="false">SUM(C2:C14)</f>
        <v>0</v>
      </c>
      <c r="D15" s="10" t="n">
        <f aca="false">SUM(D2:D14)</f>
        <v>0</v>
      </c>
      <c r="F15" s="10" t="n">
        <f aca="false">SUM(F2:F14)</f>
        <v>0</v>
      </c>
      <c r="G15" s="10" t="n">
        <f aca="false">SUM(G2:G14)</f>
        <v>0</v>
      </c>
      <c r="H15" s="10" t="n">
        <f aca="false">SUM(H2:H14)</f>
        <v>0</v>
      </c>
      <c r="I15" s="10" t="n">
        <f aca="false">SUM(I2:I14)</f>
        <v>0</v>
      </c>
      <c r="J15" s="10" t="n">
        <f aca="false">SUM(J2:J14)</f>
        <v>0</v>
      </c>
      <c r="K15" s="20" t="n">
        <f aca="false">SUM(K2:K14)</f>
        <v>0</v>
      </c>
    </row>
    <row r="16" customFormat="false" ht="15" hidden="false" customHeight="false" outlineLevel="0" collapsed="false">
      <c r="A16" s="21" t="s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2026-10-05T15:55:24Z</dcterms:created>
  <dc:creator>openpyxl</dc:creator>
  <dc:description/>
  <dc:language>en-US</dc:language>
  <cp:lastModifiedBy/>
  <dcterms:modified xsi:type="dcterms:W3CDTF">2026-10-05T15:55:24Z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